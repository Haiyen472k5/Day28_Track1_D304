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14232d93e542e6" /></Relationships>
</file>

<file path=xl/workbook.xml><?xml version="1.0" encoding="utf-8"?>
<x:workbook xmlns:x="http://schemas.openxmlformats.org/spreadsheetml/2006/main">
  <x:sheets>
    <x:sheet xmlns:r="http://schemas.openxmlformats.org/officeDocument/2006/relationships" name="Dashboard" sheetId="1" r:id="Rdce277db1843429d"/>
    <x:sheet xmlns:r="http://schemas.openxmlformats.org/officeDocument/2006/relationships" name="Metrics" sheetId="2" r:id="Ref0cf0178f6e4530"/>
    <x:sheet xmlns:r="http://schemas.openxmlformats.org/officeDocument/2006/relationships" name="Input_Log" sheetId="3" r:id="R481bb53d30674259"/>
    <x:sheet xmlns:r="http://schemas.openxmlformats.org/officeDocument/2006/relationships" name="Setup" sheetId="4" r:id="R94c1ad5637084d5b"/>
    <x:sheet xmlns:r="http://schemas.openxmlformats.org/officeDocument/2006/relationships" name="Workflow_Roadmap" sheetId="5" r:id="Rc4e0da92d0fb4ff3"/>
    <x:sheet xmlns:r="http://schemas.openxmlformats.org/officeDocument/2006/relationships" name="Review" sheetId="6" r:id="R24e0e4a2f22b437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0"/>
  </x:numFmts>
  <x:fonts count="7">
    <x:font>
      <x:sz val="11"/>
      <x:name val="Carlito"/>
    </x:font>
    <x:font>
      <x:b/>
      <x:sz val="11"/>
      <x:color rgb="FFFFFFFF"/>
      <x:name val="Carlito"/>
    </x:font>
    <x:font>
      <x:i/>
      <x:sz val="11"/>
      <x:color rgb="FF1F2937"/>
      <x:name val="Carlito"/>
    </x:font>
    <x:font>
      <x:b/>
      <x:sz val="11"/>
      <x:color rgb="FF17365D"/>
      <x:name val="Carlito"/>
    </x:font>
    <x:font>
      <x:sz val="11"/>
      <x:color rgb="FF1F2937"/>
      <x:name val="Carlito"/>
    </x:font>
    <x:font>
      <x:b/>
      <x:sz val="11"/>
      <x:color rgb="FF0F766E"/>
      <x:name val="Carlito"/>
    </x:font>
    <x:font>
      <x:b/>
      <x:sz val="11"/>
      <x:color rgb="FF1F2937"/>
      <x:name val="Carlito"/>
    </x:font>
  </x:fonts>
  <x:fills count="10">
    <x:fill>
      <x:patternFill patternType="none"/>
    </x:fill>
    <x:fill>
      <x:patternFill patternType="gray125"/>
    </x:fill>
    <x:fill>
      <x:patternFill patternType="solid">
        <x:fgColor rgb="FF17365D"/>
      </x:patternFill>
    </x:fill>
    <x:fill>
      <x:patternFill patternType="solid">
        <x:fgColor rgb="FFEEF6FB"/>
      </x:patternFill>
    </x:fill>
    <x:fill>
      <x:patternFill patternType="solid">
        <x:fgColor rgb="FFD9EAF7"/>
      </x:patternFill>
    </x:fill>
    <x:fill>
      <x:patternFill patternType="solid">
        <x:fgColor rgb="FFF2F2F2"/>
      </x:patternFill>
    </x:fill>
    <x:fill>
      <x:patternFill patternType="solid">
        <x:fgColor rgb="FFFFFFFF"/>
      </x:patternFill>
    </x:fill>
    <x:fill>
      <x:patternFill patternType="solid">
        <x:fgColor rgb="FFFCE4D6"/>
      </x:patternFill>
    </x:fill>
    <x:fill>
      <x:patternFill patternType="solid">
        <x:fgColor rgb="FF0F766E"/>
      </x:patternFill>
    </x:fill>
    <x:fill>
      <x:patternFill patternType="solid">
        <x:fgColor rgb="FFFFF2CC"/>
      </x:patternFill>
    </x:fill>
  </x:fills>
  <x:borders count="13">
    <x:border/>
    <x:border>
      <x:left style="thin">
        <x:color rgb="FFB7C9D6"/>
      </x:left>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border>
    <x:border>
      <x:right style="thin">
        <x:color rgb="FFB7C9D6"/>
      </x:right>
    </x:border>
  </x:borders>
  <x:cellStyleXfs count="1">
    <x:xf numFmtId="0" fontId="0" fillId="0" borderId="0"/>
  </x:cellStyleXfs>
  <x:cellXfs count="1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5" fillId="6" borderId="0"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5" xfId="0" applyNumberFormat="1" applyFont="1" applyFill="1" applyBorder="1" applyAlignment="1">
      <x:alignment horizontal="center" wrapText="1"/>
    </x:xf>
    <x:xf numFmtId="0" fontId="5" fillId="6" borderId="6" xfId="0" applyNumberFormat="1" applyFont="1" applyFill="1" applyBorder="1" applyAlignment="1">
      <x:alignment horizontal="center" wrapText="1"/>
    </x:xf>
    <x:xf numFmtId="0" fontId="5" fillId="6" borderId="7" xfId="0" applyNumberFormat="1" applyFont="1" applyFill="1" applyBorder="1" applyAlignment="1">
      <x:alignment horizontal="center" wrapText="1"/>
    </x:xf>
    <x:xf numFmtId="0" fontId="5" fillId="6" borderId="8" xfId="0" applyNumberFormat="1" applyFont="1" applyFill="1" applyBorder="1" applyAlignment="1">
      <x:alignment horizontal="center" wrapText="1"/>
    </x:xf>
    <x:xf numFmtId="0" fontId="5" fillId="6" borderId="9" xfId="0" applyNumberFormat="1" applyFont="1" applyFill="1" applyBorder="1" applyAlignment="1">
      <x:alignment horizontal="center" wrapText="1"/>
    </x:xf>
    <x:xf numFmtId="0" fontId="5" fillId="6" borderId="10" xfId="0" applyNumberFormat="1" applyFont="1" applyFill="1" applyBorder="1" applyAlignment="1">
      <x:alignment horizontal="center" wrapText="1"/>
    </x:xf>
    <x:xf numFmtId="0" fontId="5" fillId="6" borderId="5" xfId="0" applyNumberFormat="1" applyFont="1" applyFill="1" applyBorder="1" applyAlignment="1">
      <x:alignment horizontal="center" vertical="center" wrapText="1"/>
    </x:xf>
    <x:xf numFmtId="0" fontId="5" fillId="6" borderId="6" xfId="0" applyNumberFormat="1" applyFont="1" applyFill="1" applyBorder="1" applyAlignment="1">
      <x:alignment horizontal="center" vertical="center" wrapText="1"/>
    </x:xf>
    <x:xf numFmtId="0" fontId="5" fillId="6" borderId="7" xfId="0" applyNumberFormat="1" applyFont="1" applyFill="1" applyBorder="1" applyAlignment="1">
      <x:alignment horizontal="center" vertical="center" wrapText="1"/>
    </x:xf>
    <x:xf numFmtId="0" fontId="5" fillId="6" borderId="8" xfId="0" applyNumberFormat="1" applyFont="1" applyFill="1" applyBorder="1" applyAlignment="1">
      <x:alignment horizontal="center" vertical="center" wrapText="1"/>
    </x:xf>
    <x:xf numFmtId="0" fontId="5" fillId="6" borderId="9"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wrapText="1"/>
    </x:xf>
    <x:xf numFmtId="200" fontId="5" fillId="6" borderId="5" xfId="0" applyNumberFormat="1" applyFont="1" applyFill="1" applyBorder="1" applyAlignment="1">
      <x:alignment horizontal="center" vertical="center" wrapText="1"/>
    </x:xf>
    <x:xf numFmtId="200" fontId="5" fillId="6" borderId="6" xfId="0" applyNumberFormat="1" applyFont="1" applyFill="1" applyBorder="1" applyAlignment="1">
      <x:alignment horizontal="center" vertical="center" wrapText="1"/>
    </x:xf>
    <x:xf numFmtId="200" fontId="5" fillId="6" borderId="7" xfId="0" applyNumberFormat="1" applyFont="1" applyFill="1" applyBorder="1" applyAlignment="1">
      <x:alignment horizontal="center" vertical="center" wrapText="1"/>
    </x:xf>
    <x:xf numFmtId="200" fontId="5" fillId="6" borderId="8" xfId="0" applyNumberFormat="1" applyFont="1" applyFill="1" applyBorder="1" applyAlignment="1">
      <x:alignment horizontal="center" vertical="center" wrapText="1"/>
    </x:xf>
    <x:xf numFmtId="200" fontId="5" fillId="6" borderId="9" xfId="0" applyNumberFormat="1" applyFont="1" applyFill="1" applyBorder="1" applyAlignment="1">
      <x:alignment horizontal="center" vertical="center" wrapText="1"/>
    </x:xf>
    <x:xf numFmtId="200" fontId="5" fillId="6" borderId="10"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6" fillId="7" borderId="5" xfId="0" applyNumberFormat="1" applyFont="1" applyFill="1" applyBorder="1"/>
    <x:xf numFmtId="0" fontId="6" fillId="7" borderId="6" xfId="0" applyNumberFormat="1" applyFont="1" applyFill="1" applyBorder="1"/>
    <x:xf numFmtId="0" fontId="6" fillId="7" borderId="7" xfId="0" applyNumberFormat="1" applyFont="1" applyFill="1" applyBorder="1"/>
    <x:xf numFmtId="0" fontId="6" fillId="7" borderId="8" xfId="0" applyNumberFormat="1" applyFont="1" applyFill="1" applyBorder="1"/>
    <x:xf numFmtId="0" fontId="6" fillId="7" borderId="9" xfId="0" applyNumberFormat="1" applyFont="1" applyFill="1" applyBorder="1"/>
    <x:xf numFmtId="0" fontId="6" fillId="7" borderId="10" xfId="0" applyNumberFormat="1" applyFont="1" applyFill="1" applyBorder="1"/>
    <x:xf numFmtId="0" fontId="6" fillId="7" borderId="5"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7"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9" xfId="0" applyNumberFormat="1" applyFont="1" applyFill="1" applyBorder="1" applyAlignment="1">
      <x:alignment wrapText="1"/>
    </x:xf>
    <x:xf numFmtId="0" fontId="6" fillId="7" borderId="10" xfId="0" applyNumberFormat="1" applyFont="1" applyFill="1" applyBorder="1" applyAlignment="1">
      <x:alignment wrapText="1"/>
    </x:xf>
    <x:xf numFmtId="0" fontId="6" fillId="7" borderId="5" xfId="0" applyNumberFormat="1" applyFont="1" applyFill="1" applyBorder="1" applyAlignment="1">
      <x:alignment horizontal="center" wrapText="1"/>
    </x:xf>
    <x:xf numFmtId="0" fontId="6" fillId="7" borderId="6" xfId="0" applyNumberFormat="1" applyFont="1" applyFill="1" applyBorder="1" applyAlignment="1">
      <x:alignment horizontal="center" wrapText="1"/>
    </x:xf>
    <x:xf numFmtId="0" fontId="6" fillId="7" borderId="7" xfId="0" applyNumberFormat="1" applyFont="1" applyFill="1" applyBorder="1" applyAlignment="1">
      <x:alignment horizontal="center" wrapText="1"/>
    </x:xf>
    <x:xf numFmtId="0" fontId="6" fillId="7" borderId="8" xfId="0" applyNumberFormat="1" applyFont="1" applyFill="1" applyBorder="1" applyAlignment="1">
      <x:alignment horizontal="center" wrapText="1"/>
    </x:xf>
    <x:xf numFmtId="0" fontId="6" fillId="7" borderId="9" xfId="0" applyNumberFormat="1" applyFont="1" applyFill="1" applyBorder="1" applyAlignment="1">
      <x:alignment horizontal="center" wrapText="1"/>
    </x:xf>
    <x:xf numFmtId="0" fontId="6" fillId="7" borderId="10" xfId="0" applyNumberFormat="1" applyFont="1" applyFill="1" applyBorder="1" applyAlignment="1">
      <x:alignment horizontal="center" wrapText="1"/>
    </x:xf>
    <x:xf numFmtId="0" fontId="6" fillId="7" borderId="5" xfId="0" applyNumberFormat="1" applyFont="1" applyFill="1" applyBorder="1" applyAlignment="1">
      <x:alignment horizontal="center" vertical="center" wrapText="1"/>
    </x:xf>
    <x:xf numFmtId="0" fontId="6" fillId="7" borderId="6" xfId="0" applyNumberFormat="1" applyFont="1" applyFill="1" applyBorder="1" applyAlignment="1">
      <x:alignment horizontal="center" vertical="center" wrapText="1"/>
    </x:xf>
    <x:xf numFmtId="0" fontId="6" fillId="7" borderId="7" xfId="0" applyNumberFormat="1" applyFont="1" applyFill="1" applyBorder="1" applyAlignment="1">
      <x:alignment horizontal="center" vertical="center" wrapText="1"/>
    </x:xf>
    <x:xf numFmtId="0" fontId="6" fillId="7" borderId="8" xfId="0" applyNumberFormat="1" applyFont="1" applyFill="1" applyBorder="1" applyAlignment="1">
      <x:alignment horizontal="center" vertical="center" wrapText="1"/>
    </x:xf>
    <x:xf numFmtId="0" fontId="6" fillId="7" borderId="9" xfId="0" applyNumberFormat="1" applyFont="1" applyFill="1" applyBorder="1" applyAlignment="1">
      <x:alignment horizontal="center" vertical="center" wrapText="1"/>
    </x:xf>
    <x:xf numFmtId="0" fontId="6" fillId="7" borderId="1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wrapText="1"/>
    </x:xf>
    <x:xf numFmtId="0" fontId="1" fillId="8" borderId="1" xfId="0" applyNumberFormat="1" applyFont="1" applyFill="1" applyBorder="1" applyAlignment="1">
      <x:alignment horizontal="center" wrapText="1"/>
    </x:xf>
    <x:xf numFmtId="0" fontId="1" fillId="8" borderId="1" xfId="0" applyNumberFormat="1" applyFont="1" applyFill="1" applyBorder="1" applyAlignment="1">
      <x:alignment horizontal="center" vertical="center" wrapText="1"/>
    </x:xf>
    <x:xf numFmtId="200" fontId="4" fillId="6" borderId="1" xfId="0" applyNumberFormat="1" applyFont="1" applyFill="1" applyBorder="1" applyAlignment="1">
      <x:alignment vertical="top" wrapText="1"/>
    </x:xf>
    <x:xf numFmtId="0" fontId="4" fillId="3" borderId="0"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11" xfId="0" applyNumberFormat="1" applyFont="1" applyFill="1" applyBorder="1"/>
    <x:xf numFmtId="0" fontId="4" fillId="3" borderId="12"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10" xfId="0" applyNumberFormat="1" applyFont="1" applyFill="1" applyBorder="1"/>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11"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2"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9" xfId="0" applyNumberFormat="1" applyFont="1" applyFill="1" applyBorder="1" applyAlignment="1">
      <x:alignment wrapText="1"/>
    </x:xf>
    <x:xf numFmtId="0" fontId="4" fillId="3" borderId="10" xfId="0" applyNumberFormat="1" applyFont="1" applyFill="1" applyBorder="1" applyAlignment="1">
      <x:alignment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1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2"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9" xfId="0" applyNumberFormat="1" applyFont="1" applyFill="1" applyBorder="1" applyAlignment="1">
      <x:alignment vertical="top" wrapText="1"/>
    </x:xf>
    <x:xf numFmtId="0" fontId="4" fillId="3" borderId="10" xfId="0" applyNumberFormat="1" applyFont="1" applyFill="1" applyBorder="1" applyAlignment="1">
      <x:alignment vertical="top" wrapText="1"/>
    </x:xf>
    <x:xf numFmtId="0" fontId="0" fillId="9" borderId="0" xfId="0" applyNumberFormat="1" applyFont="1" applyFill="1" applyBorder="1"/>
    <x:xf numFmtId="0" fontId="4" fillId="9" borderId="0" xfId="0" applyNumberFormat="1" applyFont="1" applyFill="1" applyBorder="1"/>
    <x:xf numFmtId="0" fontId="4" fillId="9" borderId="1" xfId="0" applyNumberFormat="1" applyFont="1" applyFill="1" applyBorder="1"/>
    <x:xf numFmtId="0" fontId="4" fillId="9" borderId="1" xfId="0" applyNumberFormat="1" applyFont="1" applyFill="1" applyBorder="1" applyAlignment="1">
      <x:alignment wrapText="1"/>
    </x:xf>
    <x:xf numFmtId="0" fontId="4" fillId="9" borderId="1" xfId="0" applyNumberFormat="1" applyFont="1" applyFill="1" applyBorder="1" applyAlignment="1">
      <x:alignment vertical="top" wrapText="1"/>
    </x:xf>
    <x:xf numFmtId="201" fontId="4" fillId="9" borderId="1" xfId="0" applyNumberFormat="1" applyFont="1" applyFill="1" applyBorder="1" applyAlignment="1">
      <x:alignment vertical="top" wrapText="1"/>
    </x:xf>
    <x:xf numFmtId="202" fontId="4" fillId="9" borderId="1" xfId="0" applyNumberFormat="1" applyFont="1" applyFill="1" applyBorder="1" applyAlignment="1">
      <x:alignment vertical="top" wrapText="1"/>
    </x:xf>
    <x:xf numFmtId="0" fontId="6" fillId="9" borderId="1" xfId="0" applyNumberFormat="1" applyFont="1" applyFill="1" applyBorder="1" applyAlignment="1">
      <x:alignment vertical="top" wrapText="1"/>
    </x:xf>
    <x:xf numFmtId="0" fontId="6" fillId="9" borderId="1" xfId="0" applyNumberFormat="1" applyFont="1" applyFill="1" applyBorder="1" applyAlignment="1">
      <x:alignment horizontal="center" vertical="top" wrapText="1"/>
    </x:xf>
    <x:xf numFmtId="0" fontId="6" fillId="7" borderId="11" xfId="0" applyNumberFormat="1" applyFont="1" applyFill="1" applyBorder="1"/>
    <x:xf numFmtId="0" fontId="6" fillId="7" borderId="12" xfId="0" applyNumberFormat="1" applyFont="1" applyFill="1" applyBorder="1"/>
    <x:xf numFmtId="0" fontId="6" fillId="7" borderId="11"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12" xfId="0" applyNumberFormat="1" applyFont="1" applyFill="1" applyBorder="1" applyAlignment="1">
      <x:alignment wrapText="1"/>
    </x:xf>
    <x:xf numFmtId="0" fontId="6" fillId="7" borderId="5" xfId="0" applyNumberFormat="1" applyFont="1" applyFill="1" applyBorder="1" applyAlignment="1">
      <x:alignment vertical="top" wrapText="1"/>
    </x:xf>
    <x:xf numFmtId="0" fontId="6" fillId="7" borderId="6" xfId="0" applyNumberFormat="1" applyFont="1" applyFill="1" applyBorder="1" applyAlignment="1">
      <x:alignment vertical="top" wrapText="1"/>
    </x:xf>
    <x:xf numFmtId="0" fontId="6" fillId="7" borderId="7" xfId="0" applyNumberFormat="1" applyFont="1" applyFill="1" applyBorder="1" applyAlignment="1">
      <x:alignment vertical="top" wrapText="1"/>
    </x:xf>
    <x:xf numFmtId="0" fontId="6" fillId="7" borderId="11"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2" xfId="0" applyNumberFormat="1" applyFont="1" applyFill="1" applyBorder="1" applyAlignment="1">
      <x:alignment vertical="top" wrapText="1"/>
    </x:xf>
    <x:xf numFmtId="0" fontId="6" fillId="7" borderId="8" xfId="0" applyNumberFormat="1" applyFont="1" applyFill="1" applyBorder="1" applyAlignment="1">
      <x:alignment vertical="top" wrapText="1"/>
    </x:xf>
    <x:xf numFmtId="0" fontId="6" fillId="7" borderId="9" xfId="0" applyNumberFormat="1" applyFont="1" applyFill="1" applyBorder="1" applyAlignment="1">
      <x:alignment vertical="top" wrapText="1"/>
    </x:xf>
    <x:xf numFmtId="0" fontId="6" fillId="7" borderId="10" xfId="0" applyNumberFormat="1" applyFont="1" applyFill="1" applyBorder="1" applyAlignment="1">
      <x:alignment vertical="top" wrapText="1"/>
    </x:xf>
  </x:cellXfs>
  <x:cellStyles count="1">
    <x:cellStyle name="Normal" xfId="0"/>
  </x:cellStyles>
  <x:dxfs count="7">
    <x:dxf>
      <x:font>
        <x:b/>
        <x:color rgb="FF27632A"/>
      </x:font>
      <x:fill>
        <x:patternFill patternType="solid">
          <x:bgColor rgb="FFE2F0D9"/>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27632A"/>
      </x:font>
      <x:fill>
        <x:patternFill patternType="solid">
          <x:bgColor rgb="FFE2F0D9"/>
        </x:patternFill>
      </x:fill>
    </x:dxf>
    <x:dxf>
      <x:font>
        <x:b/>
        <x:color rgb="FF9C0006"/>
      </x:font>
      <x:fill>
        <x:patternFill patternType="solid">
          <x:bgColor rgb="FFF4CCCC"/>
        </x:patternFill>
      </x:fill>
    </x:dxf>
    <x:dxf>
      <x:font>
        <x:b/>
        <x:color rgb="FF7F6000"/>
      </x:font>
      <x:fill>
        <x:patternFill patternType="solid">
          <x:bgColor rgb="FFFFF2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65a2b58a5e4d76" /><Relationship Type="http://schemas.openxmlformats.org/officeDocument/2006/relationships/theme" Target="/xl/theme/theme1.xml" Id="Ra38f09a3dda54643" /><Relationship Type="http://schemas.openxmlformats.org/officeDocument/2006/relationships/sharedStrings" Target="/xl/sharedStrings.xml" Id="R54549a325df443b3" /><Relationship Type="http://schemas.openxmlformats.org/officeDocument/2006/relationships/worksheet" Target="/xl/worksheets/sheet1.xml" Id="Rdce277db1843429d" /><Relationship Type="http://schemas.openxmlformats.org/officeDocument/2006/relationships/worksheet" Target="/xl/worksheets/sheet2.xml" Id="Ref0cf0178f6e4530" /><Relationship Type="http://schemas.openxmlformats.org/officeDocument/2006/relationships/worksheet" Target="/xl/worksheets/sheet3.xml" Id="R481bb53d30674259" /><Relationship Type="http://schemas.openxmlformats.org/officeDocument/2006/relationships/worksheet" Target="/xl/worksheets/sheet4.xml" Id="R94c1ad5637084d5b" /><Relationship Type="http://schemas.openxmlformats.org/officeDocument/2006/relationships/worksheet" Target="/xl/worksheets/sheet5.xml" Id="Rc4e0da92d0fb4ff3" /><Relationship Type="http://schemas.openxmlformats.org/officeDocument/2006/relationships/worksheet" Target="/xl/worksheets/sheet6.xml" Id="R24e0e4a2f22b43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38" hidden="0" customWidth="1"/>
    <x:col min="3" max="3" width="15" hidden="0" customWidth="1"/>
    <x:col min="4" max="4" width="24" hidden="0" customWidth="1"/>
    <x:col min="5" max="5" width="16" hidden="0" customWidth="1"/>
    <x:col min="6" max="6" width="30" hidden="0" customWidth="1"/>
    <x:col min="7" max="7" width="22" hidden="0" customWidth="1"/>
    <x:col min="8" max="8" width="38" hidden="0" customWidth="1"/>
    <x:col min="9" max="9" width="15" hidden="0" customWidth="1"/>
    <x:col min="10" max="10" width="14" hidden="0" customWidth="1"/>
    <x:col min="11" max="11" width="14" hidden="0" customWidth="1"/>
    <x:col min="12" max="12" width="14" hidden="0" customWidth="1"/>
  </x:cols>
  <x:sheetData>
    <x:row r="1" ht="28" customHeight="1">
      <x:c r="A1" s="4" t="str">
        <x:v>Dashboard Hành động cho Áp dụng AI v2</x:v>
      </x:c>
      <x:c r="B1" s="4"/>
      <x:c r="C1" s="4"/>
      <x:c r="D1" s="4"/>
      <x:c r="E1" s="4"/>
      <x:c r="F1" s="4"/>
      <x:c r="G1" s="4"/>
      <x:c r="H1" s="4"/>
      <x:c r="I1" s="4"/>
      <x:c r="J1" s="4"/>
      <x:c r="K1" s="4"/>
      <x:c r="L1" s="4"/>
    </x:row>
    <x:row r="2" ht="34" customHeight="1">
      <x:c r="A2" s="9" t="str">
        <x:v>Đọc từ dưới lên: usage → hành vi → năng suất → chất lượng/độ tin cậy → giá trị. Số liệu chỉ hiện khi Input_Log có dữ liệu thật.</x:v>
      </x:c>
      <x:c r="B2" s="9"/>
      <x:c r="C2" s="9"/>
      <x:c r="D2" s="9"/>
      <x:c r="E2" s="9"/>
      <x:c r="F2" s="9"/>
      <x:c r="G2" s="9"/>
      <x:c r="H2" s="9"/>
      <x:c r="I2" s="9"/>
      <x:c r="J2" s="9"/>
      <x:c r="K2" s="9"/>
      <x:c r="L2" s="9"/>
    </x:row>
    <x:row r="4">
      <x:c r="A4" s="12" t="str">
        <x:v>PHẠM VI ĐÃ KHÓA</x:v>
      </x:c>
      <x:c r="B4" s="12"/>
      <x:c r="C4" s="12"/>
      <x:c r="D4" s="12"/>
      <x:c r="E4" s="12"/>
      <x:c r="F4" s="12"/>
      <x:c r="G4" s="12"/>
      <x:c r="H4" s="12"/>
      <x:c r="I4" s="12"/>
      <x:c r="J4" s="12"/>
      <x:c r="K4" s="12"/>
      <x:c r="L4" s="12"/>
    </x:row>
    <x:row r="5" ht="32" customHeight="1">
      <x:c r="A5" s="22" t="str">
        <x:v>Product</x:v>
      </x:c>
      <x:c r="B5" s="23" t="str">
        <x:v>Trợ lý AI soạn thảo báo cáo vận hành định kỳ</x:v>
      </x:c>
    </x:row>
    <x:row r="6" ht="32" customHeight="1">
      <x:c r="A6" s="22" t="str">
        <x:v>User</x:v>
      </x:c>
      <x:c r="B6" s="23" t="str">
        <x:v>Nhân viên vận hành</x:v>
      </x:c>
    </x:row>
    <x:row r="7" ht="32" customHeight="1">
      <x:c r="A7" s="22" t="str">
        <x:v>Workflow</x:v>
      </x:c>
      <x:c r="B7" s="23" t="str">
        <x:v>Tổng hợp dữ liệu thô → sinh bản nháp → đối soát số liệu</x:v>
      </x:c>
    </x:row>
    <x:row r="8" ht="32" customHeight="1">
      <x:c r="A8" s="22" t="str">
        <x:v>Problem</x:v>
      </x:c>
      <x:c r="B8" s="23" t="str">
        <x:v>AI có thể bịa chỉ số và viết lan man; người dùng phải kiểm tra, viết lại</x:v>
      </x:c>
    </x:row>
    <x:row r="10">
      <x:c r="A10" s="33" t="str">
        <x:v>Duyệt vòng đầu</x:v>
      </x:c>
      <x:c r="B10" s="34"/>
      <x:c r="C10" s="35"/>
      <x:c r="D10" s="33" t="str">
        <x:v>Truy xuất nguồn</x:v>
      </x:c>
      <x:c r="E10" s="34"/>
      <x:c r="F10" s="35"/>
      <x:c r="G10" s="33" t="str">
        <x:v>Phải viết lại</x:v>
      </x:c>
      <x:c r="H10" s="34"/>
      <x:c r="I10" s="35"/>
      <x:c r="J10" s="33" t="str">
        <x:v>Ngoại lệ đúng owner</x:v>
      </x:c>
      <x:c r="K10" s="34"/>
      <x:c r="L10" s="35"/>
    </x:row>
    <x:row r="11">
      <x:c r="A11" s="61" t="str">
        <x:f>'Metrics'!K6</x:f>
        <x:v>Chưa đo</x:v>
      </x:c>
      <x:c r="B11" s="62"/>
      <x:c r="C11" s="63"/>
      <x:c r="D11" s="61" t="str">
        <x:f>'Metrics'!K7</x:f>
        <x:v>Chưa đo</x:v>
      </x:c>
      <x:c r="E11" s="62"/>
      <x:c r="F11" s="63"/>
      <x:c r="G11" s="61" t="str">
        <x:f>'Metrics'!K8</x:f>
        <x:v>Chưa đo</x:v>
      </x:c>
      <x:c r="H11" s="62"/>
      <x:c r="I11" s="63"/>
      <x:c r="J11" s="61" t="str">
        <x:f>'Metrics'!K10</x:f>
        <x:v>Chưa đo</x:v>
      </x:c>
      <x:c r="K11" s="62"/>
      <x:c r="L11" s="63"/>
    </x:row>
    <x:row r="12">
      <x:c r="A12" s="64"/>
      <x:c r="B12" s="65"/>
      <x:c r="C12" s="66"/>
      <x:c r="D12" s="64"/>
      <x:c r="E12" s="65"/>
      <x:c r="F12" s="66"/>
      <x:c r="G12" s="64"/>
      <x:c r="H12" s="65"/>
      <x:c r="I12" s="66"/>
      <x:c r="J12" s="64"/>
      <x:c r="K12" s="65"/>
      <x:c r="L12" s="66"/>
    </x:row>
    <x:row r="14">
      <x:c r="A14" s="12" t="str">
        <x:v>QUYẾT ĐỊNH HIỆN TẠI</x:v>
      </x:c>
      <x:c r="B14" s="12"/>
      <x:c r="C14" s="12"/>
      <x:c r="D14" s="12"/>
      <x:c r="E14" s="12"/>
      <x:c r="F14" s="12"/>
      <x:c r="G14" s="12"/>
      <x:c r="H14" s="12"/>
      <x:c r="I14" s="12"/>
      <x:c r="J14" s="12"/>
      <x:c r="K14" s="12"/>
      <x:c r="L14" s="12"/>
    </x:row>
    <x:row r="15">
      <x:c r="A15" s="87" t="str">
        <x:v>TIẾP TỤC PILOT CÓ ĐIỀU KIỆN — chưa rollout rộng. Chỉ mở rộng khi các gate về traceability, duyệt vòng đầu, viết lại và chuyển ngoại lệ đạt.</x:v>
      </x:c>
      <x:c r="B15" s="88"/>
      <x:c r="C15" s="88"/>
      <x:c r="D15" s="88"/>
      <x:c r="E15" s="88"/>
      <x:c r="F15" s="88"/>
      <x:c r="G15" s="88"/>
      <x:c r="H15" s="88"/>
      <x:c r="I15" s="88"/>
      <x:c r="J15" s="88"/>
      <x:c r="K15" s="88"/>
      <x:c r="L15" s="89"/>
    </x:row>
    <x:row r="16">
      <x:c r="A16" s="90"/>
      <x:c r="B16" s="91"/>
      <x:c r="C16" s="91"/>
      <x:c r="D16" s="91"/>
      <x:c r="E16" s="91"/>
      <x:c r="F16" s="91"/>
      <x:c r="G16" s="91"/>
      <x:c r="H16" s="91"/>
      <x:c r="I16" s="91"/>
      <x:c r="J16" s="91"/>
      <x:c r="K16" s="91"/>
      <x:c r="L16" s="92"/>
    </x:row>
    <x:row r="18">
      <x:c r="A18" s="12" t="str">
        <x:v>BẢNG CHỈ SỐ RA QUYẾT ĐỊNH</x:v>
      </x:c>
      <x:c r="B18" s="12"/>
      <x:c r="C18" s="12"/>
      <x:c r="D18" s="12"/>
      <x:c r="E18" s="12"/>
      <x:c r="F18" s="12"/>
      <x:c r="G18" s="12"/>
      <x:c r="H18" s="12"/>
      <x:c r="I18" s="12"/>
    </x:row>
    <x:row r="19">
      <x:c r="A19" s="98" t="str">
        <x:v>Tầng</x:v>
      </x:c>
      <x:c r="B19" s="98" t="str">
        <x:v>Chỉ số</x:v>
      </x:c>
      <x:c r="C19" s="98" t="str">
        <x:v>Loại</x:v>
      </x:c>
      <x:c r="D19" s="98" t="str">
        <x:v>Mốc đầu</x:v>
      </x:c>
      <x:c r="E19" s="98" t="str">
        <x:v>Mục tiêu</x:v>
      </x:c>
      <x:c r="F19" s="98" t="str">
        <x:v>Nguồn dữ liệu</x:v>
      </x:c>
      <x:c r="G19" s="98" t="str">
        <x:v>Phụ trách</x:v>
      </x:c>
      <x:c r="H19" s="98" t="str">
        <x:v>Khi chỉ số xấu</x:v>
      </x:c>
      <x:c r="I19" s="98" t="str">
        <x:v>Trạng thái</x:v>
      </x:c>
    </x:row>
    <x:row r="20" ht="54" customHeight="1">
      <x:c r="A20" s="20" t="str">
        <x:f>'Metrics'!B6</x:f>
        <x:v>5. Giá trị</x:v>
      </x:c>
      <x:c r="B20" s="20" t="str">
        <x:f>'Metrics'!C6</x:f>
        <x:v>Tỷ lệ bản nháp được duyệt ngay vòng đầu</x:v>
      </x:c>
      <x:c r="C20" s="20" t="str">
        <x:f>'Metrics'!D6</x:f>
        <x:v>Product</x:v>
      </x:c>
      <x:c r="D20" s="20" t="str">
        <x:f>'Metrics'!E6</x:f>
        <x:v>Đo 5 báo cáo pilot</x:v>
      </x:c>
      <x:c r="E20" s="99" t="n">
        <x:f>'Metrics'!F6</x:f>
        <x:v>0.8</x:v>
      </x:c>
      <x:c r="F20" s="20" t="str">
        <x:f>'Metrics'!G6</x:f>
        <x:v>Review log/Input_Log</x:v>
      </x:c>
      <x:c r="G20" s="20" t="str">
        <x:f>'Metrics'!H6</x:f>
        <x:v>Chủ báo cáo</x:v>
      </x:c>
      <x:c r="H20" s="20" t="str">
        <x:f>'Metrics'!I6</x:f>
        <x:v>Khoanh vùng lỗi, sửa prompt/template, chưa rollout</x:v>
      </x:c>
      <x:c r="I20" s="20" t="str">
        <x:f>'Metrics'!L6</x:f>
        <x:v>Chưa đo</x:v>
      </x:c>
    </x:row>
    <x:row r="21" ht="54" customHeight="1">
      <x:c r="A21" s="20" t="str">
        <x:f>'Metrics'!B7</x:f>
        <x:v>4. Chất lượng</x:v>
      </x:c>
      <x:c r="B21" s="20" t="str">
        <x:f>'Metrics'!C7</x:f>
        <x:v>Tỷ lệ chỉ số truy xuất được nguồn</x:v>
      </x:c>
      <x:c r="C21" s="20" t="str">
        <x:f>'Metrics'!D7</x:f>
        <x:v>Quality</x:v>
      </x:c>
      <x:c r="D21" s="20" t="str">
        <x:f>'Metrics'!E7</x:f>
        <x:v>Đo 5 báo cáo pilot</x:v>
      </x:c>
      <x:c r="E21" s="99" t="n">
        <x:f>'Metrics'!F7</x:f>
        <x:v>0.95</x:v>
      </x:c>
      <x:c r="F21" s="20" t="str">
        <x:f>'Metrics'!G7</x:f>
        <x:v>Validator/QA/Input_Log</x:v>
      </x:c>
      <x:c r="G21" s="20" t="str">
        <x:f>'Metrics'!H7</x:f>
        <x:v>Phụ trách QA</x:v>
      </x:c>
      <x:c r="H21" s="20" t="str">
        <x:f>'Metrics'!I7</x:f>
        <x:v>Bổ sung nguồn/validator và tăng QA</x:v>
      </x:c>
      <x:c r="I21" s="20" t="str">
        <x:f>'Metrics'!L7</x:f>
        <x:v>Chưa đo</x:v>
      </x:c>
    </x:row>
    <x:row r="22" ht="54" customHeight="1">
      <x:c r="A22" s="20" t="str">
        <x:f>'Metrics'!B8</x:f>
        <x:v>4. Chất lượng</x:v>
      </x:c>
      <x:c r="B22" s="20" t="str">
        <x:f>'Metrics'!C8</x:f>
        <x:v>Tỷ lệ nội dung phải viết lại</x:v>
      </x:c>
      <x:c r="C22" s="20" t="str">
        <x:f>'Metrics'!D8</x:f>
        <x:v>Workflow</x:v>
      </x:c>
      <x:c r="D22" s="20" t="str">
        <x:f>'Metrics'!E8</x:f>
        <x:v>Đo 5 báo cáo pilot</x:v>
      </x:c>
      <x:c r="E22" s="99" t="n">
        <x:f>'Metrics'!F8</x:f>
        <x:v>0.2</x:v>
      </x:c>
      <x:c r="F22" s="20" t="str">
        <x:f>'Metrics'!G8</x:f>
        <x:v>So sánh bản nháp/bản cuối</x:v>
      </x:c>
      <x:c r="G22" s="20" t="str">
        <x:f>'Metrics'!H8</x:f>
        <x:v>Chủ quy trình</x:v>
      </x:c>
      <x:c r="H22" s="20" t="str">
        <x:f>'Metrics'!I8</x:f>
        <x:v>Sửa template, giới hạn độ dài và hỗ trợ người dùng</x:v>
      </x:c>
      <x:c r="I22" s="20" t="str">
        <x:f>'Metrics'!L8</x:f>
        <x:v>Chưa đo</x:v>
      </x:c>
    </x:row>
    <x:row r="23" ht="54" customHeight="1">
      <x:c r="A23" s="20" t="str">
        <x:f>'Metrics'!B9</x:f>
        <x:v>3. Năng suất</x:v>
      </x:c>
      <x:c r="B23" s="20" t="str">
        <x:f>'Metrics'!C9</x:f>
        <x:v>Thời gian xử lý so với baseline</x:v>
      </x:c>
      <x:c r="C23" s="20" t="str">
        <x:f>'Metrics'!D9</x:f>
        <x:v>Workflow</x:v>
      </x:c>
      <x:c r="D23" s="20" t="str">
        <x:f>'Metrics'!E9</x:f>
        <x:v>Đo 5 báo cáo pilot</x:v>
      </x:c>
      <x:c r="E23" s="99" t="n">
        <x:f>'Metrics'!F9</x:f>
        <x:v>0.8</x:v>
      </x:c>
      <x:c r="F23" s="20" t="str">
        <x:f>'Metrics'!G9</x:f>
        <x:v>Timestamp/log tác vụ + Setup</x:v>
      </x:c>
      <x:c r="G23" s="20" t="str">
        <x:f>'Metrics'!H9</x:f>
        <x:v>Chủ quy trình</x:v>
      </x:c>
      <x:c r="H23" s="20" t="str">
        <x:f>'Metrics'!I9</x:f>
        <x:v>Map bottleneck, sửa điểm bàn giao, thử lại</x:v>
      </x:c>
      <x:c r="I23" s="20" t="str">
        <x:f>'Metrics'!L9</x:f>
        <x:v>Chưa đo</x:v>
      </x:c>
    </x:row>
    <x:row r="24" ht="54" customHeight="1">
      <x:c r="A24" s="20" t="str">
        <x:f>'Metrics'!B10</x:f>
        <x:v>4. Rủi ro</x:v>
      </x:c>
      <x:c r="B24" s="20" t="str">
        <x:f>'Metrics'!C10</x:f>
        <x:v>Tỷ lệ ngoại lệ chuyển đúng owner</x:v>
      </x:c>
      <x:c r="C24" s="20" t="str">
        <x:f>'Metrics'!D10</x:f>
        <x:v>Quality</x:v>
      </x:c>
      <x:c r="D24" s="20" t="str">
        <x:f>'Metrics'!E10</x:f>
        <x:v>Đo tuần 1</x:v>
      </x:c>
      <x:c r="E24" s="99" t="n">
        <x:f>'Metrics'!F10</x:f>
        <x:v>1</x:v>
      </x:c>
      <x:c r="F24" s="20" t="str">
        <x:f>'Metrics'!G10</x:f>
        <x:v>Error log/Input_Log</x:v>
      </x:c>
      <x:c r="G24" s="20" t="str">
        <x:f>'Metrics'!H10</x:f>
        <x:v>Phụ trách AI</x:v>
      </x:c>
      <x:c r="H24" s="20" t="str">
        <x:f>'Metrics'!I10</x:f>
        <x:v>Dừng phát hành, bổ sung quy tắc chuyển người</x:v>
      </x:c>
      <x:c r="I24" s="20" t="str">
        <x:f>'Metrics'!L10</x:f>
        <x:v>Chưa đo</x:v>
      </x:c>
    </x:row>
    <x:row r="26">
      <x:c r="A26" s="12" t="str">
        <x:v>CÁCH ĐỌC VÀ GATE</x:v>
      </x:c>
      <x:c r="B26" s="12"/>
      <x:c r="C26" s="12"/>
      <x:c r="D26" s="12"/>
      <x:c r="E26" s="12"/>
      <x:c r="F26" s="12"/>
      <x:c r="G26" s="12"/>
      <x:c r="H26" s="12"/>
      <x:c r="I26" s="12"/>
    </x:row>
    <x:row r="27">
      <x:c r="A27" s="118" t="str">
        <x:v>Gate mở rộng: traceability ≥95%; duyệt vòng đầu ≥80%; viết lại ≤20%; ngoại lệ nghiêm trọng chuyển đúng owner 100%. Nếu chưa đạt: sửa nguồn/validator/workflow hoặc dừng mở rộng.</x:v>
      </x:c>
      <x:c r="B27" s="119"/>
      <x:c r="C27" s="119"/>
      <x:c r="D27" s="119"/>
      <x:c r="E27" s="119"/>
      <x:c r="F27" s="119"/>
      <x:c r="G27" s="119"/>
      <x:c r="H27" s="119"/>
      <x:c r="I27" s="120"/>
    </x:row>
    <x:row r="28">
      <x:c r="A28" s="121"/>
      <x:c r="B28" s="122"/>
      <x:c r="C28" s="122"/>
      <x:c r="D28" s="122"/>
      <x:c r="E28" s="122"/>
      <x:c r="F28" s="122"/>
      <x:c r="G28" s="122"/>
      <x:c r="H28" s="122"/>
      <x:c r="I28" s="123"/>
    </x:row>
    <x:row r="29">
      <x:c r="A29" s="124"/>
      <x:c r="B29" s="125"/>
      <x:c r="C29" s="125"/>
      <x:c r="D29" s="125"/>
      <x:c r="E29" s="125"/>
      <x:c r="F29" s="125"/>
      <x:c r="G29" s="125"/>
      <x:c r="H29" s="125"/>
      <x:c r="I29" s="126"/>
    </x:row>
  </x:sheetData>
  <x:mergeCells>
    <x:mergeCell ref="A1:L1"/>
    <x:mergeCell ref="A2:L2"/>
    <x:mergeCell ref="A4:L4"/>
    <x:mergeCell ref="A10:C10"/>
    <x:mergeCell ref="A11:C12"/>
    <x:mergeCell ref="D10:F10"/>
    <x:mergeCell ref="D11:F12"/>
    <x:mergeCell ref="G10:I10"/>
    <x:mergeCell ref="G11:I12"/>
    <x:mergeCell ref="J10:L10"/>
    <x:mergeCell ref="J11:L12"/>
    <x:mergeCell ref="A14:L14"/>
    <x:mergeCell ref="A15:L16"/>
    <x:mergeCell ref="A18:I18"/>
    <x:mergeCell ref="A26:I26"/>
    <x:mergeCell ref="A27:I29"/>
  </x:mergeCells>
  <x:conditionalFormatting sqref="I20:I24">
    <x:cfRule type="containsText" dxfId="0" priority="1" operator="containsText" text="ĐẠT"/>
    <x:cfRule type="containsText" dxfId="1" priority="2" operator="containsText" text="CHƯA ĐẠT"/>
    <x:cfRule type="containsText" dxfId="2" priority="3" operator="containsText" text="Chưa đo"/>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38" hidden="0" customWidth="1"/>
    <x:col min="4" max="4" width="15" hidden="0" customWidth="1"/>
    <x:col min="5" max="5" width="23" hidden="0" customWidth="1"/>
    <x:col min="6" max="6" width="14" hidden="0" customWidth="1"/>
    <x:col min="7" max="7" width="28" hidden="0" customWidth="1"/>
    <x:col min="8" max="8" width="20" hidden="0" customWidth="1"/>
    <x:col min="9" max="9" width="38" hidden="0" customWidth="1"/>
    <x:col min="10" max="10" width="12" hidden="0" customWidth="1"/>
    <x:col min="11" max="11" width="14" hidden="0" customWidth="1"/>
    <x:col min="12" max="12" width="14" hidden="0" customWidth="1"/>
  </x:cols>
  <x:sheetData>
    <x:row r="1" ht="28" customHeight="1">
      <x:c r="A1" s="4" t="str">
        <x:v>Metrics — Chỉ số Dashboard v2</x:v>
      </x:c>
      <x:c r="B1" s="4"/>
      <x:c r="C1" s="4"/>
      <x:c r="D1" s="4"/>
      <x:c r="E1" s="4"/>
      <x:c r="F1" s="4"/>
      <x:c r="G1" s="4"/>
      <x:c r="H1" s="4"/>
      <x:c r="I1" s="4"/>
      <x:c r="J1" s="4"/>
      <x:c r="K1" s="4"/>
      <x:c r="L1" s="4"/>
    </x:row>
    <x:row r="2" ht="34" customHeight="1">
      <x:c r="A2" s="9" t="str">
        <x:v>v2 sau phản biện: metric hướng vào chất lượng, workflow và giá trị; Current và Status là công thức từ Input_Log.</x:v>
      </x:c>
      <x:c r="B2" s="9"/>
      <x:c r="C2" s="9"/>
      <x:c r="D2" s="9"/>
      <x:c r="E2" s="9"/>
      <x:c r="F2" s="9"/>
      <x:c r="G2" s="9"/>
      <x:c r="H2" s="9"/>
      <x:c r="I2" s="9"/>
      <x:c r="J2" s="9"/>
      <x:c r="K2" s="9"/>
      <x:c r="L2" s="9"/>
    </x:row>
    <x:row r="4">
      <x:c r="A4" s="12" t="str">
        <x:v>BẢNG CHỈ SỐ VÀ LOGIC RA QUYẾT ĐỊNH</x:v>
      </x:c>
      <x:c r="B4" s="12"/>
      <x:c r="C4" s="12"/>
      <x:c r="D4" s="12"/>
      <x:c r="E4" s="12"/>
      <x:c r="F4" s="12"/>
      <x:c r="G4" s="12"/>
      <x:c r="H4" s="12"/>
      <x:c r="I4" s="12"/>
      <x:c r="J4" s="12"/>
      <x:c r="K4" s="12"/>
      <x:c r="L4" s="12"/>
    </x:row>
    <x:row r="5">
      <x:c r="A5" s="98" t="str">
        <x:v>ID</x:v>
      </x:c>
      <x:c r="B5" s="98" t="str">
        <x:v>Tầng</x:v>
      </x:c>
      <x:c r="C5" s="98" t="str">
        <x:v>Chỉ số</x:v>
      </x:c>
      <x:c r="D5" s="98" t="str">
        <x:v>Loại</x:v>
      </x:c>
      <x:c r="E5" s="98" t="str">
        <x:v>Mốc đầu</x:v>
      </x:c>
      <x:c r="F5" s="98" t="str">
        <x:v>Mục tiêu</x:v>
      </x:c>
      <x:c r="G5" s="98" t="str">
        <x:v>Nguồn dữ liệu</x:v>
      </x:c>
      <x:c r="H5" s="98" t="str">
        <x:v>Phụ trách</x:v>
      </x:c>
      <x:c r="I5" s="98" t="str">
        <x:v>Khi chỉ số xấu</x:v>
      </x:c>
      <x:c r="J5" s="98" t="str">
        <x:v>Hướng</x:v>
      </x:c>
      <x:c r="K5" s="98" t="str">
        <x:v>Current</x:v>
      </x:c>
      <x:c r="L5" s="98" t="str">
        <x:v>Status</x:v>
      </x:c>
    </x:row>
    <x:row r="6" ht="42" customHeight="1">
      <x:c r="A6" s="20" t="str">
        <x:v>M02</x:v>
      </x:c>
      <x:c r="B6" s="20" t="str">
        <x:v>5. Giá trị</x:v>
      </x:c>
      <x:c r="C6" s="20" t="str">
        <x:v>Tỷ lệ bản nháp được duyệt ngay vòng đầu</x:v>
      </x:c>
      <x:c r="D6" s="20" t="str">
        <x:v>Product</x:v>
      </x:c>
      <x:c r="E6" s="20" t="str">
        <x:v>Đo 5 báo cáo pilot</x:v>
      </x:c>
      <x:c r="F6" s="99" t="n">
        <x:v>0.8</x:v>
      </x:c>
      <x:c r="G6" s="20" t="str">
        <x:v>Review log/Input_Log</x:v>
      </x:c>
      <x:c r="H6" s="20" t="str">
        <x:v>Chủ báo cáo</x:v>
      </x:c>
      <x:c r="I6" s="20" t="str">
        <x:v>Khoanh vùng lỗi, sửa prompt/template, chưa rollout</x:v>
      </x:c>
      <x:c r="J6" s="20" t="str">
        <x:v>Tăng</x:v>
      </x:c>
      <x:c r="K6" s="99" t="str">
        <x:f>IF(COUNTIF('Input_Log'!$A$6:$A$35,"&lt;&gt;")=0,"Chưa đo",COUNTIF('Input_Log'!$D$6:$D$35,"Có")/COUNTIF('Input_Log'!$A$6:$A$35,"&lt;&gt;"))</x:f>
        <x:v>Chưa đo</x:v>
      </x:c>
      <x:c r="L6" s="20" t="str">
        <x:f>IF(ISNUMBER(K6),IF(J6="Tăng",IF(K6&gt;=F6,"ĐẠT","CHƯA ĐẠT"),IF(K6&lt;=F6,"ĐẠT","CHƯA ĐẠT")),"Chưa đo")</x:f>
        <x:v>Chưa đo</x:v>
      </x:c>
    </x:row>
    <x:row r="7" ht="42" customHeight="1">
      <x:c r="A7" s="20" t="str">
        <x:v>M03</x:v>
      </x:c>
      <x:c r="B7" s="20" t="str">
        <x:v>4. Chất lượng</x:v>
      </x:c>
      <x:c r="C7" s="20" t="str">
        <x:v>Tỷ lệ chỉ số truy xuất được nguồn</x:v>
      </x:c>
      <x:c r="D7" s="20" t="str">
        <x:v>Quality</x:v>
      </x:c>
      <x:c r="E7" s="20" t="str">
        <x:v>Đo 5 báo cáo pilot</x:v>
      </x:c>
      <x:c r="F7" s="99" t="n">
        <x:v>0.95</x:v>
      </x:c>
      <x:c r="G7" s="20" t="str">
        <x:v>Validator/QA/Input_Log</x:v>
      </x:c>
      <x:c r="H7" s="20" t="str">
        <x:v>Phụ trách QA</x:v>
      </x:c>
      <x:c r="I7" s="20" t="str">
        <x:v>Bổ sung nguồn/validator và tăng QA</x:v>
      </x:c>
      <x:c r="J7" s="20" t="str">
        <x:v>Tăng</x:v>
      </x:c>
      <x:c r="K7" s="99" t="str">
        <x:f>IF(COUNTIF('Input_Log'!$A$6:$A$35,"&lt;&gt;")=0,"Chưa đo",COUNTIF('Input_Log'!$E$6:$E$35,"Có")/COUNTIF('Input_Log'!$A$6:$A$35,"&lt;&gt;"))</x:f>
        <x:v>Chưa đo</x:v>
      </x:c>
      <x:c r="L7" s="20" t="str">
        <x:f>IF(ISNUMBER(K7),IF(J7="Tăng",IF(K7&gt;=F7,"ĐẠT","CHƯA ĐẠT"),IF(K7&lt;=F7,"ĐẠT","CHƯA ĐẠT")),"Chưa đo")</x:f>
        <x:v>Chưa đo</x:v>
      </x:c>
    </x:row>
    <x:row r="8" ht="42" customHeight="1">
      <x:c r="A8" s="20" t="str">
        <x:v>M04</x:v>
      </x:c>
      <x:c r="B8" s="20" t="str">
        <x:v>4. Chất lượng</x:v>
      </x:c>
      <x:c r="C8" s="20" t="str">
        <x:v>Tỷ lệ nội dung phải viết lại</x:v>
      </x:c>
      <x:c r="D8" s="20" t="str">
        <x:v>Workflow</x:v>
      </x:c>
      <x:c r="E8" s="20" t="str">
        <x:v>Đo 5 báo cáo pilot</x:v>
      </x:c>
      <x:c r="F8" s="99" t="n">
        <x:v>0.2</x:v>
      </x:c>
      <x:c r="G8" s="20" t="str">
        <x:v>So sánh bản nháp/bản cuối</x:v>
      </x:c>
      <x:c r="H8" s="20" t="str">
        <x:v>Chủ quy trình</x:v>
      </x:c>
      <x:c r="I8" s="20" t="str">
        <x:v>Sửa template, giới hạn độ dài và hỗ trợ người dùng</x:v>
      </x:c>
      <x:c r="J8" s="20" t="str">
        <x:v>Giảm</x:v>
      </x:c>
      <x:c r="K8" s="99" t="str">
        <x:f>IF(SUM('Input_Log'!$G$6:$G$35)=0,"Chưa đo",SUM('Input_Log'!$F$6:$F$35)/SUM('Input_Log'!$G$6:$G$35))</x:f>
        <x:v>Chưa đo</x:v>
      </x:c>
      <x:c r="L8" s="20" t="str">
        <x:f>IF(ISNUMBER(K8),IF(J8="Tăng",IF(K8&gt;=F8,"ĐẠT","CHƯA ĐẠT"),IF(K8&lt;=F8,"ĐẠT","CHƯA ĐẠT")),"Chưa đo")</x:f>
        <x:v>Chưa đo</x:v>
      </x:c>
    </x:row>
    <x:row r="9" ht="42" customHeight="1">
      <x:c r="A9" s="20" t="str">
        <x:v>M05</x:v>
      </x:c>
      <x:c r="B9" s="20" t="str">
        <x:v>3. Năng suất</x:v>
      </x:c>
      <x:c r="C9" s="20" t="str">
        <x:v>Thời gian xử lý so với baseline</x:v>
      </x:c>
      <x:c r="D9" s="20" t="str">
        <x:v>Workflow</x:v>
      </x:c>
      <x:c r="E9" s="20" t="str">
        <x:v>Đo 5 báo cáo pilot</x:v>
      </x:c>
      <x:c r="F9" s="99" t="n">
        <x:v>0.8</x:v>
      </x:c>
      <x:c r="G9" s="20" t="str">
        <x:v>Timestamp/log tác vụ + Setup</x:v>
      </x:c>
      <x:c r="H9" s="20" t="str">
        <x:v>Chủ quy trình</x:v>
      </x:c>
      <x:c r="I9" s="20" t="str">
        <x:v>Map bottleneck, sửa điểm bàn giao, thử lại</x:v>
      </x:c>
      <x:c r="J9" s="20" t="str">
        <x:v>Giảm</x:v>
      </x:c>
      <x:c r="K9" s="99" t="str">
        <x:f>IF(OR(COUNT('Input_Log'!$H$6:$H$35)=0,'Setup'!$B$7=""),"Chưa đo",AVERAGE('Input_Log'!$H$6:$H$35)/'Setup'!$B$7)</x:f>
        <x:v>Chưa đo</x:v>
      </x:c>
      <x:c r="L9" s="20" t="str">
        <x:f>IF(ISNUMBER(K9),IF(J9="Tăng",IF(K9&gt;=F9,"ĐẠT","CHƯA ĐẠT"),IF(K9&lt;=F9,"ĐẠT","CHƯA ĐẠT")),"Chưa đo")</x:f>
        <x:v>Chưa đo</x:v>
      </x:c>
    </x:row>
    <x:row r="10" ht="42" customHeight="1">
      <x:c r="A10" s="20" t="str">
        <x:v>M06</x:v>
      </x:c>
      <x:c r="B10" s="20" t="str">
        <x:v>4. Rủi ro</x:v>
      </x:c>
      <x:c r="C10" s="20" t="str">
        <x:v>Tỷ lệ ngoại lệ chuyển đúng owner</x:v>
      </x:c>
      <x:c r="D10" s="20" t="str">
        <x:v>Quality</x:v>
      </x:c>
      <x:c r="E10" s="20" t="str">
        <x:v>Đo tuần 1</x:v>
      </x:c>
      <x:c r="F10" s="99" t="n">
        <x:v>1</x:v>
      </x:c>
      <x:c r="G10" s="20" t="str">
        <x:v>Error log/Input_Log</x:v>
      </x:c>
      <x:c r="H10" s="20" t="str">
        <x:v>Phụ trách AI</x:v>
      </x:c>
      <x:c r="I10" s="20" t="str">
        <x:v>Dừng phát hành, bổ sung quy tắc chuyển người</x:v>
      </x:c>
      <x:c r="J10" s="20" t="str">
        <x:v>Tăng</x:v>
      </x:c>
      <x:c r="K10" s="99" t="str">
        <x:f>IF(COUNTIF('Input_Log'!$A$6:$A$35,"&lt;&gt;")=0,"Chưa đo",IF(COUNTIF('Input_Log'!$I$6:$I$35,"Có")=0,1,COUNTIFS('Input_Log'!$I$6:$I$35,"Có",'Input_Log'!$J$6:$J$35,"Có")/COUNTIF('Input_Log'!$I$6:$I$35,"Có")))</x:f>
        <x:v>Chưa đo</x:v>
      </x:c>
      <x:c r="L10" s="20" t="str">
        <x:f>IF(ISNUMBER(K10),IF(J10="Tăng",IF(K10&gt;=F10,"ĐẠT","CHƯA ĐẠT"),IF(K10&lt;=F10,"ĐẠT","CHƯA ĐẠT")),"Chưa đo")</x:f>
        <x:v>Chưa đo</x:v>
      </x:c>
    </x:row>
  </x:sheetData>
  <x:mergeCells>
    <x:mergeCell ref="A1:L1"/>
    <x:mergeCell ref="A2:L2"/>
    <x:mergeCell ref="A4:L4"/>
  </x:mergeCells>
  <x:conditionalFormatting sqref="L6:L10">
    <x:cfRule type="containsText" dxfId="3" priority="1" operator="containsText" text="ĐẠT"/>
    <x:cfRule type="containsText" dxfId="4" priority="2" operator="containsText" text="CHƯA ĐẠT"/>
    <x:cfRule type="containsText" dxfId="5" priority="3" operator="containsText" text="Chưa đo"/>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2" hidden="0" customWidth="1"/>
    <x:col min="3" max="3" width="16" hidden="0" customWidth="1"/>
    <x:col min="4" max="4" width="17" hidden="0" customWidth="1"/>
    <x:col min="5" max="5" width="18" hidden="0" customWidth="1"/>
    <x:col min="6" max="6" width="17" hidden="0" customWidth="1"/>
    <x:col min="7" max="7" width="15" hidden="0" customWidth="1"/>
    <x:col min="8" max="8" width="14" hidden="0" customWidth="1"/>
    <x:col min="9" max="9" width="14" hidden="0" customWidth="1"/>
    <x:col min="10" max="10" width="24" hidden="0" customWidth="1"/>
    <x:col min="11" max="11" width="20" hidden="0" customWidth="1"/>
    <x:col min="12" max="12" width="32" hidden="0" customWidth="1"/>
    <x:col min="13" max="13" width="30" hidden="0" customWidth="1"/>
  </x:cols>
  <x:sheetData>
    <x:row r="1" ht="28" customHeight="1">
      <x:c r="A1" s="4" t="str">
        <x:v>Input Log — Nhật ký báo cáo pilot</x:v>
      </x:c>
      <x:c r="B1" s="4"/>
      <x:c r="C1" s="4"/>
      <x:c r="D1" s="4"/>
      <x:c r="E1" s="4"/>
      <x:c r="F1" s="4"/>
      <x:c r="G1" s="4"/>
      <x:c r="H1" s="4"/>
      <x:c r="I1" s="4"/>
      <x:c r="J1" s="4"/>
      <x:c r="K1" s="4"/>
      <x:c r="L1" s="4"/>
      <x:c r="M1" s="4"/>
    </x:row>
    <x:row r="2" ht="34" customHeight="1">
      <x:c r="A2" s="9" t="str">
        <x:v>Chỉ nhập dữ liệu thực tế sau khi nhóm chạy pilot; ô vàng là ô nhập liệu. Không đưa dữ liệu nội bộ nhạy cảm vào repo public.</x:v>
      </x:c>
      <x:c r="B2" s="9"/>
      <x:c r="C2" s="9"/>
      <x:c r="D2" s="9"/>
      <x:c r="E2" s="9"/>
      <x:c r="F2" s="9"/>
      <x:c r="G2" s="9"/>
      <x:c r="H2" s="9"/>
      <x:c r="I2" s="9"/>
      <x:c r="J2" s="9"/>
      <x:c r="K2" s="9"/>
      <x:c r="L2" s="9"/>
      <x:c r="M2" s="9"/>
    </x:row>
    <x:row r="4">
      <x:c r="A4" s="12" t="str">
        <x:v>NHẬT KÝ ĐO LƯỜNG</x:v>
      </x:c>
      <x:c r="B4" s="12"/>
      <x:c r="C4" s="12"/>
      <x:c r="D4" s="12"/>
      <x:c r="E4" s="12"/>
      <x:c r="F4" s="12"/>
      <x:c r="G4" s="12"/>
      <x:c r="H4" s="12"/>
      <x:c r="I4" s="12"/>
      <x:c r="J4" s="12"/>
      <x:c r="K4" s="12"/>
      <x:c r="L4" s="12"/>
      <x:c r="M4" s="12"/>
    </x:row>
    <x:row r="5">
      <x:c r="A5" s="98" t="str">
        <x:v>Mã báo cáo</x:v>
      </x:c>
      <x:c r="B5" s="98" t="str">
        <x:v>Ngày</x:v>
      </x:c>
      <x:c r="C5" s="98" t="str">
        <x:v>Nguồn đã khóa?</x:v>
      </x:c>
      <x:c r="D5" s="98" t="str">
        <x:v>Duyệt vòng đầu?</x:v>
      </x:c>
      <x:c r="E5" s="98" t="str">
        <x:v>Chỉ số có nguồn?</x:v>
      </x:c>
      <x:c r="F5" s="98" t="str">
        <x:v>Số đoạn viết lại</x:v>
      </x:c>
      <x:c r="G5" s="98" t="str">
        <x:v>Tổng số đoạn</x:v>
      </x:c>
      <x:c r="H5" s="98" t="str">
        <x:v>Phút xử lý</x:v>
      </x:c>
      <x:c r="I5" s="98" t="str">
        <x:v>Có ngoại lệ?</x:v>
      </x:c>
      <x:c r="J5" s="98" t="str">
        <x:v>Ngoại lệ chuyển đúng owner?</x:v>
      </x:c>
      <x:c r="K5" s="98" t="str">
        <x:v>Người duyệt</x:v>
      </x:c>
      <x:c r="L5" s="98" t="str">
        <x:v>Ghi chú</x:v>
      </x:c>
      <x:c r="M5" s="98" t="str">
        <x:v>Link/ID nguồn (nếu có)</x:v>
      </x:c>
    </x:row>
    <x:row r="6" ht="24" customHeight="1">
      <x:c r="A6" s="131"/>
      <x:c r="B6" s="132"/>
      <x:c r="C6" s="131"/>
      <x:c r="D6" s="131"/>
      <x:c r="E6" s="131"/>
      <x:c r="F6" s="133"/>
      <x:c r="G6" s="133"/>
      <x:c r="H6" s="133"/>
      <x:c r="I6" s="131"/>
      <x:c r="J6" s="131"/>
      <x:c r="K6" s="131"/>
      <x:c r="L6" s="131"/>
      <x:c r="M6" s="131"/>
    </x:row>
    <x:row r="7" ht="24" customHeight="1">
      <x:c r="A7" s="131"/>
      <x:c r="B7" s="132"/>
      <x:c r="C7" s="131"/>
      <x:c r="D7" s="131"/>
      <x:c r="E7" s="131"/>
      <x:c r="F7" s="133"/>
      <x:c r="G7" s="133"/>
      <x:c r="H7" s="133"/>
      <x:c r="I7" s="131"/>
      <x:c r="J7" s="131"/>
      <x:c r="K7" s="131"/>
      <x:c r="L7" s="131"/>
      <x:c r="M7" s="131"/>
    </x:row>
    <x:row r="8" ht="24" customHeight="1">
      <x:c r="A8" s="131"/>
      <x:c r="B8" s="132"/>
      <x:c r="C8" s="131"/>
      <x:c r="D8" s="131"/>
      <x:c r="E8" s="131"/>
      <x:c r="F8" s="133"/>
      <x:c r="G8" s="133"/>
      <x:c r="H8" s="133"/>
      <x:c r="I8" s="131"/>
      <x:c r="J8" s="131"/>
      <x:c r="K8" s="131"/>
      <x:c r="L8" s="131"/>
      <x:c r="M8" s="131"/>
    </x:row>
    <x:row r="9" ht="24" customHeight="1">
      <x:c r="A9" s="131"/>
      <x:c r="B9" s="132"/>
      <x:c r="C9" s="131"/>
      <x:c r="D9" s="131"/>
      <x:c r="E9" s="131"/>
      <x:c r="F9" s="133"/>
      <x:c r="G9" s="133"/>
      <x:c r="H9" s="133"/>
      <x:c r="I9" s="131"/>
      <x:c r="J9" s="131"/>
      <x:c r="K9" s="131"/>
      <x:c r="L9" s="131"/>
      <x:c r="M9" s="131"/>
    </x:row>
    <x:row r="10" ht="24" customHeight="1">
      <x:c r="A10" s="131"/>
      <x:c r="B10" s="132"/>
      <x:c r="C10" s="131"/>
      <x:c r="D10" s="131"/>
      <x:c r="E10" s="131"/>
      <x:c r="F10" s="133"/>
      <x:c r="G10" s="133"/>
      <x:c r="H10" s="133"/>
      <x:c r="I10" s="131"/>
      <x:c r="J10" s="131"/>
      <x:c r="K10" s="131"/>
      <x:c r="L10" s="131"/>
      <x:c r="M10" s="131"/>
    </x:row>
    <x:row r="11" ht="24" customHeight="1">
      <x:c r="A11" s="131"/>
      <x:c r="B11" s="132"/>
      <x:c r="C11" s="131"/>
      <x:c r="D11" s="131"/>
      <x:c r="E11" s="131"/>
      <x:c r="F11" s="133"/>
      <x:c r="G11" s="133"/>
      <x:c r="H11" s="133"/>
      <x:c r="I11" s="131"/>
      <x:c r="J11" s="131"/>
      <x:c r="K11" s="131"/>
      <x:c r="L11" s="131"/>
      <x:c r="M11" s="131"/>
    </x:row>
    <x:row r="12" ht="24" customHeight="1">
      <x:c r="A12" s="131"/>
      <x:c r="B12" s="132"/>
      <x:c r="C12" s="131"/>
      <x:c r="D12" s="131"/>
      <x:c r="E12" s="131"/>
      <x:c r="F12" s="133"/>
      <x:c r="G12" s="133"/>
      <x:c r="H12" s="133"/>
      <x:c r="I12" s="131"/>
      <x:c r="J12" s="131"/>
      <x:c r="K12" s="131"/>
      <x:c r="L12" s="131"/>
      <x:c r="M12" s="131"/>
    </x:row>
    <x:row r="13" ht="24" customHeight="1">
      <x:c r="A13" s="131"/>
      <x:c r="B13" s="132"/>
      <x:c r="C13" s="131"/>
      <x:c r="D13" s="131"/>
      <x:c r="E13" s="131"/>
      <x:c r="F13" s="133"/>
      <x:c r="G13" s="133"/>
      <x:c r="H13" s="133"/>
      <x:c r="I13" s="131"/>
      <x:c r="J13" s="131"/>
      <x:c r="K13" s="131"/>
      <x:c r="L13" s="131"/>
      <x:c r="M13" s="131"/>
    </x:row>
    <x:row r="14" ht="24" customHeight="1">
      <x:c r="A14" s="131"/>
      <x:c r="B14" s="132"/>
      <x:c r="C14" s="131"/>
      <x:c r="D14" s="131"/>
      <x:c r="E14" s="131"/>
      <x:c r="F14" s="133"/>
      <x:c r="G14" s="133"/>
      <x:c r="H14" s="133"/>
      <x:c r="I14" s="131"/>
      <x:c r="J14" s="131"/>
      <x:c r="K14" s="131"/>
      <x:c r="L14" s="131"/>
      <x:c r="M14" s="131"/>
    </x:row>
    <x:row r="15" ht="24" customHeight="1">
      <x:c r="A15" s="131"/>
      <x:c r="B15" s="132"/>
      <x:c r="C15" s="131"/>
      <x:c r="D15" s="131"/>
      <x:c r="E15" s="131"/>
      <x:c r="F15" s="133"/>
      <x:c r="G15" s="133"/>
      <x:c r="H15" s="133"/>
      <x:c r="I15" s="131"/>
      <x:c r="J15" s="131"/>
      <x:c r="K15" s="131"/>
      <x:c r="L15" s="131"/>
      <x:c r="M15" s="131"/>
    </x:row>
    <x:row r="16" ht="24" customHeight="1">
      <x:c r="A16" s="131"/>
      <x:c r="B16" s="132"/>
      <x:c r="C16" s="131"/>
      <x:c r="D16" s="131"/>
      <x:c r="E16" s="131"/>
      <x:c r="F16" s="133"/>
      <x:c r="G16" s="133"/>
      <x:c r="H16" s="133"/>
      <x:c r="I16" s="131"/>
      <x:c r="J16" s="131"/>
      <x:c r="K16" s="131"/>
      <x:c r="L16" s="131"/>
      <x:c r="M16" s="131"/>
    </x:row>
    <x:row r="17" ht="24" customHeight="1">
      <x:c r="A17" s="131"/>
      <x:c r="B17" s="132"/>
      <x:c r="C17" s="131"/>
      <x:c r="D17" s="131"/>
      <x:c r="E17" s="131"/>
      <x:c r="F17" s="133"/>
      <x:c r="G17" s="133"/>
      <x:c r="H17" s="133"/>
      <x:c r="I17" s="131"/>
      <x:c r="J17" s="131"/>
      <x:c r="K17" s="131"/>
      <x:c r="L17" s="131"/>
      <x:c r="M17" s="131"/>
    </x:row>
    <x:row r="18" ht="24" customHeight="1">
      <x:c r="A18" s="131"/>
      <x:c r="B18" s="132"/>
      <x:c r="C18" s="131"/>
      <x:c r="D18" s="131"/>
      <x:c r="E18" s="131"/>
      <x:c r="F18" s="133"/>
      <x:c r="G18" s="133"/>
      <x:c r="H18" s="133"/>
      <x:c r="I18" s="131"/>
      <x:c r="J18" s="131"/>
      <x:c r="K18" s="131"/>
      <x:c r="L18" s="131"/>
      <x:c r="M18" s="131"/>
    </x:row>
    <x:row r="19" ht="24" customHeight="1">
      <x:c r="A19" s="131"/>
      <x:c r="B19" s="132"/>
      <x:c r="C19" s="131"/>
      <x:c r="D19" s="131"/>
      <x:c r="E19" s="131"/>
      <x:c r="F19" s="133"/>
      <x:c r="G19" s="133"/>
      <x:c r="H19" s="133"/>
      <x:c r="I19" s="131"/>
      <x:c r="J19" s="131"/>
      <x:c r="K19" s="131"/>
      <x:c r="L19" s="131"/>
      <x:c r="M19" s="131"/>
    </x:row>
    <x:row r="20" ht="24" customHeight="1">
      <x:c r="A20" s="131"/>
      <x:c r="B20" s="132"/>
      <x:c r="C20" s="131"/>
      <x:c r="D20" s="131"/>
      <x:c r="E20" s="131"/>
      <x:c r="F20" s="133"/>
      <x:c r="G20" s="133"/>
      <x:c r="H20" s="133"/>
      <x:c r="I20" s="131"/>
      <x:c r="J20" s="131"/>
      <x:c r="K20" s="131"/>
      <x:c r="L20" s="131"/>
      <x:c r="M20" s="131"/>
    </x:row>
    <x:row r="21" ht="24" customHeight="1">
      <x:c r="A21" s="131"/>
      <x:c r="B21" s="132"/>
      <x:c r="C21" s="131"/>
      <x:c r="D21" s="131"/>
      <x:c r="E21" s="131"/>
      <x:c r="F21" s="133"/>
      <x:c r="G21" s="133"/>
      <x:c r="H21" s="133"/>
      <x:c r="I21" s="131"/>
      <x:c r="J21" s="131"/>
      <x:c r="K21" s="131"/>
      <x:c r="L21" s="131"/>
      <x:c r="M21" s="131"/>
    </x:row>
    <x:row r="22" ht="24" customHeight="1">
      <x:c r="A22" s="131"/>
      <x:c r="B22" s="132"/>
      <x:c r="C22" s="131"/>
      <x:c r="D22" s="131"/>
      <x:c r="E22" s="131"/>
      <x:c r="F22" s="133"/>
      <x:c r="G22" s="133"/>
      <x:c r="H22" s="133"/>
      <x:c r="I22" s="131"/>
      <x:c r="J22" s="131"/>
      <x:c r="K22" s="131"/>
      <x:c r="L22" s="131"/>
      <x:c r="M22" s="131"/>
    </x:row>
    <x:row r="23" ht="24" customHeight="1">
      <x:c r="A23" s="131"/>
      <x:c r="B23" s="132"/>
      <x:c r="C23" s="131"/>
      <x:c r="D23" s="131"/>
      <x:c r="E23" s="131"/>
      <x:c r="F23" s="133"/>
      <x:c r="G23" s="133"/>
      <x:c r="H23" s="133"/>
      <x:c r="I23" s="131"/>
      <x:c r="J23" s="131"/>
      <x:c r="K23" s="131"/>
      <x:c r="L23" s="131"/>
      <x:c r="M23" s="131"/>
    </x:row>
    <x:row r="24" ht="24" customHeight="1">
      <x:c r="A24" s="131"/>
      <x:c r="B24" s="132"/>
      <x:c r="C24" s="131"/>
      <x:c r="D24" s="131"/>
      <x:c r="E24" s="131"/>
      <x:c r="F24" s="133"/>
      <x:c r="G24" s="133"/>
      <x:c r="H24" s="133"/>
      <x:c r="I24" s="131"/>
      <x:c r="J24" s="131"/>
      <x:c r="K24" s="131"/>
      <x:c r="L24" s="131"/>
      <x:c r="M24" s="131"/>
    </x:row>
    <x:row r="25" ht="24" customHeight="1">
      <x:c r="A25" s="131"/>
      <x:c r="B25" s="132"/>
      <x:c r="C25" s="131"/>
      <x:c r="D25" s="131"/>
      <x:c r="E25" s="131"/>
      <x:c r="F25" s="133"/>
      <x:c r="G25" s="133"/>
      <x:c r="H25" s="133"/>
      <x:c r="I25" s="131"/>
      <x:c r="J25" s="131"/>
      <x:c r="K25" s="131"/>
      <x:c r="L25" s="131"/>
      <x:c r="M25" s="131"/>
    </x:row>
    <x:row r="26" ht="24" customHeight="1">
      <x:c r="A26" s="131"/>
      <x:c r="B26" s="132"/>
      <x:c r="C26" s="131"/>
      <x:c r="D26" s="131"/>
      <x:c r="E26" s="131"/>
      <x:c r="F26" s="133"/>
      <x:c r="G26" s="133"/>
      <x:c r="H26" s="133"/>
      <x:c r="I26" s="131"/>
      <x:c r="J26" s="131"/>
      <x:c r="K26" s="131"/>
      <x:c r="L26" s="131"/>
      <x:c r="M26" s="131"/>
    </x:row>
    <x:row r="27" ht="24" customHeight="1">
      <x:c r="A27" s="131"/>
      <x:c r="B27" s="132"/>
      <x:c r="C27" s="131"/>
      <x:c r="D27" s="131"/>
      <x:c r="E27" s="131"/>
      <x:c r="F27" s="133"/>
      <x:c r="G27" s="133"/>
      <x:c r="H27" s="133"/>
      <x:c r="I27" s="131"/>
      <x:c r="J27" s="131"/>
      <x:c r="K27" s="131"/>
      <x:c r="L27" s="131"/>
      <x:c r="M27" s="131"/>
    </x:row>
    <x:row r="28" ht="24" customHeight="1">
      <x:c r="A28" s="131"/>
      <x:c r="B28" s="132"/>
      <x:c r="C28" s="131"/>
      <x:c r="D28" s="131"/>
      <x:c r="E28" s="131"/>
      <x:c r="F28" s="133"/>
      <x:c r="G28" s="133"/>
      <x:c r="H28" s="133"/>
      <x:c r="I28" s="131"/>
      <x:c r="J28" s="131"/>
      <x:c r="K28" s="131"/>
      <x:c r="L28" s="131"/>
      <x:c r="M28" s="131"/>
    </x:row>
    <x:row r="29" ht="24" customHeight="1">
      <x:c r="A29" s="131"/>
      <x:c r="B29" s="132"/>
      <x:c r="C29" s="131"/>
      <x:c r="D29" s="131"/>
      <x:c r="E29" s="131"/>
      <x:c r="F29" s="133"/>
      <x:c r="G29" s="133"/>
      <x:c r="H29" s="133"/>
      <x:c r="I29" s="131"/>
      <x:c r="J29" s="131"/>
      <x:c r="K29" s="131"/>
      <x:c r="L29" s="131"/>
      <x:c r="M29" s="131"/>
    </x:row>
    <x:row r="30" ht="24" customHeight="1">
      <x:c r="A30" s="131"/>
      <x:c r="B30" s="132"/>
      <x:c r="C30" s="131"/>
      <x:c r="D30" s="131"/>
      <x:c r="E30" s="131"/>
      <x:c r="F30" s="133"/>
      <x:c r="G30" s="133"/>
      <x:c r="H30" s="133"/>
      <x:c r="I30" s="131"/>
      <x:c r="J30" s="131"/>
      <x:c r="K30" s="131"/>
      <x:c r="L30" s="131"/>
      <x:c r="M30" s="131"/>
    </x:row>
    <x:row r="31" ht="24" customHeight="1">
      <x:c r="A31" s="131"/>
      <x:c r="B31" s="132"/>
      <x:c r="C31" s="131"/>
      <x:c r="D31" s="131"/>
      <x:c r="E31" s="131"/>
      <x:c r="F31" s="133"/>
      <x:c r="G31" s="133"/>
      <x:c r="H31" s="133"/>
      <x:c r="I31" s="131"/>
      <x:c r="J31" s="131"/>
      <x:c r="K31" s="131"/>
      <x:c r="L31" s="131"/>
      <x:c r="M31" s="131"/>
    </x:row>
    <x:row r="32" ht="24" customHeight="1">
      <x:c r="A32" s="131"/>
      <x:c r="B32" s="132"/>
      <x:c r="C32" s="131"/>
      <x:c r="D32" s="131"/>
      <x:c r="E32" s="131"/>
      <x:c r="F32" s="133"/>
      <x:c r="G32" s="133"/>
      <x:c r="H32" s="133"/>
      <x:c r="I32" s="131"/>
      <x:c r="J32" s="131"/>
      <x:c r="K32" s="131"/>
      <x:c r="L32" s="131"/>
      <x:c r="M32" s="131"/>
    </x:row>
    <x:row r="33" ht="24" customHeight="1">
      <x:c r="A33" s="131"/>
      <x:c r="B33" s="132"/>
      <x:c r="C33" s="131"/>
      <x:c r="D33" s="131"/>
      <x:c r="E33" s="131"/>
      <x:c r="F33" s="133"/>
      <x:c r="G33" s="133"/>
      <x:c r="H33" s="133"/>
      <x:c r="I33" s="131"/>
      <x:c r="J33" s="131"/>
      <x:c r="K33" s="131"/>
      <x:c r="L33" s="131"/>
      <x:c r="M33" s="131"/>
    </x:row>
    <x:row r="34" ht="24" customHeight="1">
      <x:c r="A34" s="131"/>
      <x:c r="B34" s="132"/>
      <x:c r="C34" s="131"/>
      <x:c r="D34" s="131"/>
      <x:c r="E34" s="131"/>
      <x:c r="F34" s="133"/>
      <x:c r="G34" s="133"/>
      <x:c r="H34" s="133"/>
      <x:c r="I34" s="131"/>
      <x:c r="J34" s="131"/>
      <x:c r="K34" s="131"/>
      <x:c r="L34" s="131"/>
      <x:c r="M34" s="131"/>
    </x:row>
    <x:row r="35" ht="24" customHeight="1">
      <x:c r="A35" s="131"/>
      <x:c r="B35" s="132"/>
      <x:c r="C35" s="131"/>
      <x:c r="D35" s="131"/>
      <x:c r="E35" s="131"/>
      <x:c r="F35" s="133"/>
      <x:c r="G35" s="133"/>
      <x:c r="H35" s="133"/>
      <x:c r="I35" s="131"/>
      <x:c r="J35" s="131"/>
      <x:c r="K35" s="131"/>
      <x:c r="L35" s="131"/>
      <x:c r="M35" s="131"/>
    </x:row>
  </x:sheetData>
  <x:mergeCells>
    <x:mergeCell ref="A1:M1"/>
    <x:mergeCell ref="A2:M2"/>
    <x:mergeCell ref="A4:M4"/>
  </x:mergeCells>
  <x:conditionalFormatting sqref="A6:M35">
    <x:cfRule type="containsBlanks" dxfId="6" priority="1"/>
  </x:conditionalFormatting>
  <x:dataValidations count="2">
    <x:dataValidation type="list" sqref="C6:E35">
      <x:formula1>"Có,Không"</x:formula1>
    </x:dataValidation>
    <x:dataValidation type="list" sqref="I6:J35">
      <x:formula1>"Có,Không"</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28" hidden="0" customWidth="1"/>
    <x:col min="3" max="3" width="16" hidden="0" customWidth="1"/>
    <x:col min="4" max="4" width="16" hidden="0" customWidth="1"/>
    <x:col min="5" max="5" width="16" hidden="0" customWidth="1"/>
    <x:col min="6" max="6" width="16" hidden="0" customWidth="1"/>
  </x:cols>
  <x:sheetData>
    <x:row r="1" ht="28" customHeight="1">
      <x:c r="A1" s="4" t="str">
        <x:v>Setup — Giả định và quy tắc đo</x:v>
      </x:c>
      <x:c r="B1" s="4"/>
      <x:c r="C1" s="4"/>
      <x:c r="D1" s="4"/>
      <x:c r="E1" s="4"/>
      <x:c r="F1" s="4"/>
    </x:row>
    <x:row r="2" ht="34" customHeight="1">
      <x:c r="A2" s="9" t="str">
        <x:v>Các target là ngưỡng pilot do nhóm đề xuất; baseline định lượng phải được khóa từ dữ liệu thật, không nhập số liệu giả.</x:v>
      </x:c>
      <x:c r="B2" s="9"/>
      <x:c r="C2" s="9"/>
      <x:c r="D2" s="9"/>
      <x:c r="E2" s="9"/>
      <x:c r="F2" s="9"/>
    </x:row>
    <x:row r="4">
      <x:c r="A4" s="12" t="str">
        <x:v>ĐẦU VÀO CẦN XÁC NHẬN</x:v>
      </x:c>
      <x:c r="B4" s="12"/>
      <x:c r="C4" s="12"/>
      <x:c r="D4" s="12"/>
      <x:c r="E4" s="12"/>
      <x:c r="F4" s="12"/>
    </x:row>
    <x:row r="5">
      <x:c r="A5" s="98" t="str">
        <x:v>Đầu vào</x:v>
      </x:c>
      <x:c r="B5" s="98" t="str">
        <x:v>Giá trị / quy tắc</x:v>
      </x:c>
    </x:row>
    <x:row r="6">
      <x:c r="A6" s="20" t="str">
        <x:v>Số báo cáo khóa baseline</x:v>
      </x:c>
      <x:c r="B6" s="20" t="n">
        <x:v>5</x:v>
      </x:c>
    </x:row>
    <x:row r="7">
      <x:c r="A7" s="20" t="str">
        <x:v>Baseline thời gian xử lý (phút)</x:v>
      </x:c>
      <x:c r="B7" s="135"/>
    </x:row>
    <x:row r="8">
      <x:c r="A8" s="20" t="str">
        <x:v>Ngưỡng traceability</x:v>
      </x:c>
      <x:c r="B8" s="99" t="n">
        <x:v>0.95</x:v>
      </x:c>
    </x:row>
    <x:row r="9">
      <x:c r="A9" s="20" t="str">
        <x:v>Ngưỡng duyệt vòng đầu</x:v>
      </x:c>
      <x:c r="B9" s="99" t="n">
        <x:v>0.8</x:v>
      </x:c>
    </x:row>
    <x:row r="11">
      <x:c r="A11" s="118" t="str">
        <x:v>Quy tắc: mọi chỉ số phải có nguồn; AI không tự tạo số liệu. Nếu không có nguồn hoặc có chênh lệch, đánh dấu và chuyển data owner/chủ báo cáo. Mục tiêu thời gian trong Metrics!F9 được hiểu là ≤80% baseline.</x:v>
      </x:c>
      <x:c r="B11" s="119"/>
      <x:c r="C11" s="119"/>
      <x:c r="D11" s="119"/>
      <x:c r="E11" s="119"/>
      <x:c r="F11" s="120"/>
    </x:row>
    <x:row r="12">
      <x:c r="A12" s="121"/>
      <x:c r="B12" s="122"/>
      <x:c r="C12" s="122"/>
      <x:c r="D12" s="122"/>
      <x:c r="E12" s="122"/>
      <x:c r="F12" s="123"/>
    </x:row>
    <x:row r="13">
      <x:c r="A13" s="124"/>
      <x:c r="B13" s="125"/>
      <x:c r="C13" s="125"/>
      <x:c r="D13" s="125"/>
      <x:c r="E13" s="125"/>
      <x:c r="F13" s="126"/>
    </x:row>
  </x:sheetData>
  <x:mergeCells>
    <x:mergeCell ref="A1:F1"/>
    <x:mergeCell ref="A2:F2"/>
    <x:mergeCell ref="A4:F4"/>
    <x:mergeCell ref="A11:F13"/>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4" hidden="0" customWidth="1"/>
    <x:col min="3" max="3" width="30" hidden="0" customWidth="1"/>
    <x:col min="4" max="4" width="40" hidden="0" customWidth="1"/>
    <x:col min="5" max="5" width="25" hidden="0" customWidth="1"/>
    <x:col min="6" max="6" width="34" hidden="0" customWidth="1"/>
  </x:cols>
  <x:sheetData>
    <x:row r="1" ht="28" customHeight="1">
      <x:c r="A1" s="4" t="str">
        <x:v>Workflow và lộ trình 30–60–90</x:v>
      </x:c>
      <x:c r="B1" s="4"/>
      <x:c r="C1" s="4"/>
      <x:c r="D1" s="4"/>
      <x:c r="E1" s="4"/>
      <x:c r="F1" s="4"/>
    </x:row>
    <x:row r="2" ht="34" customHeight="1">
      <x:c r="A2" s="9" t="str">
        <x:v>TO-BE thiết kế cùng kiểm soát tin cậy: nguồn → trích nguồn → validator/QA → chuyển người → phê duyệt → phản hồi.</x:v>
      </x:c>
      <x:c r="B2" s="9"/>
      <x:c r="C2" s="9"/>
      <x:c r="D2" s="9"/>
      <x:c r="E2" s="9"/>
      <x:c r="F2" s="9"/>
    </x:row>
    <x:row r="4">
      <x:c r="A4" s="12" t="str">
        <x:v>AS-IS / TO-BE</x:v>
      </x:c>
      <x:c r="B4" s="12"/>
      <x:c r="C4" s="12"/>
      <x:c r="D4" s="12"/>
      <x:c r="E4" s="12"/>
      <x:c r="F4" s="12"/>
    </x:row>
    <x:row r="5">
      <x:c r="A5" s="98" t="str">
        <x:v>Bước</x:v>
      </x:c>
      <x:c r="B5" s="98" t="str">
        <x:v>AS-IS</x:v>
      </x:c>
      <x:c r="C5" s="98" t="str">
        <x:v>Rủi ro</x:v>
      </x:c>
      <x:c r="D5" s="98" t="str">
        <x:v>TO-BE</x:v>
      </x:c>
      <x:c r="E5" s="98" t="str">
        <x:v>Owner</x:v>
      </x:c>
      <x:c r="F5" s="98" t="str">
        <x:v>Điều kiện bàn giao</x:v>
      </x:c>
    </x:row>
    <x:row r="6" ht="56" customHeight="1">
      <x:c r="A6" s="20" t="str">
        <x:v>1. Dữ liệu</x:v>
      </x:c>
      <x:c r="B6" s="20" t="str">
        <x:v>Dữ liệu thô/prompt tự do</x:v>
      </x:c>
      <x:c r="C6" s="20" t="str">
        <x:v>Sai schema, khó truy vết</x:v>
      </x:c>
      <x:c r="D6" s="20" t="str">
        <x:v>Data owner khóa nguồn, schema, phiên bản</x:v>
      </x:c>
      <x:c r="E6" s="20" t="str">
        <x:v>Data owner</x:v>
      </x:c>
      <x:c r="F6" s="20" t="str">
        <x:v>Nguồn và công thức đã xác nhận</x:v>
      </x:c>
    </x:row>
    <x:row r="7" ht="56" customHeight="1">
      <x:c r="A7" s="20" t="str">
        <x:v>2. Bản nháp</x:v>
      </x:c>
      <x:c r="B7" s="20" t="str">
        <x:v>AI sinh và có thể tự hoàn thiện số liệu</x:v>
      </x:c>
      <x:c r="C7" s="20" t="str">
        <x:v>Bịa chỉ số, viết lan man</x:v>
      </x:c>
      <x:c r="D7" s="20" t="str">
        <x:v>AI viết từ số liệu đã xác nhận, gắn nguồn, theo template</x:v>
      </x:c>
      <x:c r="E7" s="20" t="str">
        <x:v>AI owner + nhân viên</x:v>
      </x:c>
      <x:c r="F7" s="20" t="str">
        <x:v>Mọi chỉ số có nguồn hoặc cảnh báo</x:v>
      </x:c>
    </x:row>
    <x:row r="8" ht="56" customHeight="1">
      <x:c r="A8" s="20" t="str">
        <x:v>3. Đối soát/duyệt</x:v>
      </x:c>
      <x:c r="B8" s="20" t="str">
        <x:v>Người dùng sửa thủ công, không log lỗi</x:v>
      </x:c>
      <x:c r="C8" s="20" t="str">
        <x:v>Bỏ sót lỗi, không học được từ lỗi</x:v>
      </x:c>
      <x:c r="D8" s="20" t="str">
        <x:v>Validator/QA → người kiểm tra → chủ báo cáo duyệt</x:v>
      </x:c>
      <x:c r="E8" s="20" t="str">
        <x:v>QA + chủ báo cáo</x:v>
      </x:c>
      <x:c r="F8" s="20" t="str">
        <x:v>Cảnh báo xử lý/chuyển đúng owner</x:v>
      </x:c>
    </x:row>
    <x:row r="9" ht="56" customHeight="1"/>
    <x:row r="10" ht="56" customHeight="1">
      <x:c r="A10" s="12" t="str">
        <x:v>LỘ TRÌNH 30–60–90</x:v>
      </x:c>
      <x:c r="B10" s="12"/>
      <x:c r="C10" s="12"/>
      <x:c r="D10" s="12"/>
      <x:c r="E10" s="12"/>
      <x:c r="F10" s="12"/>
    </x:row>
    <x:row r="11" ht="56" customHeight="1">
      <x:c r="A11" s="98" t="str">
        <x:v>Giai đoạn</x:v>
      </x:c>
      <x:c r="B11" s="98" t="str">
        <x:v>Mục tiêu</x:v>
      </x:c>
      <x:c r="C11" s="98" t="str">
        <x:v>Việc chính</x:v>
      </x:c>
      <x:c r="D11" s="98" t="str">
        <x:v>Owner</x:v>
      </x:c>
      <x:c r="E11" s="98" t="str">
        <x:v>Gate hoàn thành</x:v>
      </x:c>
      <x:c r="F11" s="98" t="str">
        <x:v>Quyết định nếu chưa đạt</x:v>
      </x:c>
    </x:row>
    <x:row r="12" ht="56" customHeight="1">
      <x:c r="A12" s="20" t="str">
        <x:v>0–30 ngày</x:v>
      </x:c>
      <x:c r="B12" s="20" t="str">
        <x:v>Chứng minh vấn đề</x:v>
      </x:c>
      <x:c r="C12" s="20" t="str">
        <x:v>Chọn 1 loại báo cáo; khóa schema/nguồn/template; baseline 5 mẫu</x:v>
      </x:c>
      <x:c r="D12" s="20" t="str">
        <x:v>Data owner + chủ quy trình</x:v>
      </x:c>
      <x:c r="E12" s="20" t="str">
        <x:v>Có nguồn chuẩn, owner, log và baseline</x:v>
      </x:c>
      <x:c r="F12" s="20" t="str">
        <x:v>Chưa pilot rộng; sửa readiness</x:v>
      </x:c>
    </x:row>
    <x:row r="13" ht="56" customHeight="1">
      <x:c r="A13" s="20" t="str">
        <x:v>31–60 ngày</x:v>
      </x:c>
      <x:c r="B13" s="20" t="str">
        <x:v>Chứng minh chất lượng</x:v>
      </x:c>
      <x:c r="C13" s="20" t="str">
        <x:v>Validator/trích nguồn; QA mẫu; hỗ trợ người dùng; theo dõi metric</x:v>
      </x:c>
      <x:c r="D13" s="20" t="str">
        <x:v>Phụ trách AI + QA</x:v>
      </x:c>
      <x:c r="E13" s="20" t="str">
        <x:v>Traceability ≥95%; ngoại lệ có owner</x:v>
      </x:c>
      <x:c r="F13" s="20" t="str">
        <x:v>Sửa validator/workflow, thử lại</x:v>
      </x:c>
    </x:row>
    <x:row r="14" ht="56" customHeight="1">
      <x:c r="A14" s="20" t="str">
        <x:v>61–90 ngày</x:v>
      </x:c>
      <x:c r="B14" s="20" t="str">
        <x:v>Quyết định mở rộng</x:v>
      </x:c>
      <x:c r="C14" s="20" t="str">
        <x:v>So target; kiểm tra governance, quyền truy cập, năng lực vận hành</x:v>
      </x:c>
      <x:c r="D14" s="20" t="str">
        <x:v>Chủ nghiệp vụ</x:v>
      </x:c>
      <x:c r="E14" s="20" t="str">
        <x:v>Đạt ngưỡng chất lượng/hành vi/giá trị</x:v>
      </x:c>
      <x:c r="F14" s="20" t="str">
        <x:v>Mở rộng / sửa-thử lại / dừng</x:v>
      </x:c>
    </x:row>
  </x:sheetData>
  <x:mergeCells>
    <x:mergeCell ref="A1:F1"/>
    <x:mergeCell ref="A2:F2"/>
    <x:mergeCell ref="A4:F4"/>
    <x:mergeCell ref="A10:F10"/>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45" hidden="0" customWidth="1"/>
    <x:col min="3" max="3" width="48" hidden="0" customWidth="1"/>
    <x:col min="4" max="4" width="38" hidden="0" customWidth="1"/>
  </x:cols>
  <x:sheetData>
    <x:row r="1" ht="28" customHeight="1">
      <x:c r="A1" s="4" t="str">
        <x:v>Review — Góp ý và thay đổi v1 → v2</x:v>
      </x:c>
      <x:c r="B1" s="4"/>
      <x:c r="C1" s="4"/>
      <x:c r="D1" s="4"/>
    </x:row>
    <x:row r="2" ht="34" customHeight="1">
      <x:c r="A2" s="9" t="str">
        <x:v>Hồ sơ để chứng minh nhóm đã kiểm tra chéo theo rubric §4.6 và áp dụng ít nhất hai thay đổi.</x:v>
      </x:c>
      <x:c r="B2" s="9"/>
      <x:c r="C2" s="9"/>
      <x:c r="D2" s="9"/>
    </x:row>
    <x:row r="4">
      <x:c r="A4" s="12" t="str">
        <x:v>GÓP Ý CỤ THỂ</x:v>
      </x:c>
      <x:c r="B4" s="12"/>
      <x:c r="C4" s="12"/>
      <x:c r="D4" s="12"/>
    </x:row>
    <x:row r="5">
      <x:c r="A5" s="98" t="str">
        <x:v>Trục</x:v>
      </x:c>
      <x:c r="B5" s="98" t="str">
        <x:v>Góp ý</x:v>
      </x:c>
      <x:c r="C5" s="98" t="str">
        <x:v>Thay đổi trong v2</x:v>
      </x:c>
      <x:c r="D5" s="98" t="str">
        <x:v>Tác động</x:v>
      </x:c>
    </x:row>
    <x:row r="6" ht="70" customHeight="1">
      <x:c r="A6" s="20" t="str">
        <x:v>Chỉ số</x:v>
      </x:c>
      <x:c r="B6" s="20" t="str">
        <x:v>Activity như số báo cáo tạo chưa chứng minh giá trị</x:v>
      </x:c>
      <x:c r="C6" s="20" t="str">
        <x:v>Thêm duyệt vòng đầu, traceability, viết lại và thời gian</x:v>
      </x:c>
      <x:c r="D6" s="20" t="str">
        <x:v>Ra quyết định dựa trên chất lượng/workflow</x:v>
      </x:c>
    </x:row>
    <x:row r="7" ht="70" customHeight="1">
      <x:c r="A7" s="20" t="str">
        <x:v>Hành động</x:v>
      </x:c>
      <x:c r="B7" s="20" t="str">
        <x:v>Chưa rõ AI sai thì ai xử lý và khi nào chuyển người</x:v>
      </x:c>
      <x:c r="C7" s="20" t="str">
        <x:v>Thêm validator, data owner, QA, chủ báo cáo và quy tắc ngoại lệ</x:v>
      </x:c>
      <x:c r="D7" s="20" t="str">
        <x:v>Có owner và kiểm soát tại điểm bàn giao</x:v>
      </x:c>
    </x:row>
    <x:row r="8" ht="70" customHeight="1">
      <x:c r="A8" s="20" t="str">
        <x:v>Roadmap</x:v>
      </x:c>
      <x:c r="B8" s="20" t="str">
        <x:v>30–60–90 cần gate, không chỉ là danh sách việc</x:v>
      </x:c>
      <x:c r="C8" s="20" t="str">
        <x:v>Thêm điều kiện qua cổng và ba phương án mở rộng/sửa/dừng</x:v>
      </x:c>
      <x:c r="D8" s="20" t="str">
        <x:v>Có quyết định theo dữ liệu</x:v>
      </x:c>
    </x:row>
    <x:row r="10">
      <x:c r="A10" s="12" t="str">
        <x:v>KẾT LUẬN</x:v>
      </x:c>
      <x:c r="B10" s="12"/>
      <x:c r="C10" s="12"/>
      <x:c r="D10" s="12"/>
    </x:row>
    <x:row r="11">
      <x:c r="A11" s="141" t="str">
        <x:v>Giữ quyết định tiếp tục pilot có điều kiện, chưa rollout rộng. Bản v2 chỉ qua gate mở rộng khi các ngưỡng trong Dashboard đạt và log đủ để truy vết.</x:v>
      </x:c>
      <x:c r="B11" s="142"/>
      <x:c r="C11" s="142"/>
      <x:c r="D11" s="143"/>
    </x:row>
    <x:row r="12">
      <x:c r="A12" s="144"/>
      <x:c r="B12" s="145"/>
      <x:c r="C12" s="145"/>
      <x:c r="D12" s="146"/>
    </x:row>
    <x:row r="13">
      <x:c r="A13" s="147"/>
      <x:c r="B13" s="148"/>
      <x:c r="C13" s="148"/>
      <x:c r="D13" s="149"/>
    </x:row>
  </x:sheetData>
  <x:mergeCells>
    <x:mergeCell ref="A1:D1"/>
    <x:mergeCell ref="A2:D2"/>
    <x:mergeCell ref="A4:D4"/>
    <x:mergeCell ref="A10:D10"/>
    <x:mergeCell ref="A11:D13"/>
  </x:mergeCells>
  <x:pageMargins left="0.7" right="0.7" top="0.75" bottom="0.75" header="0.3" footer="0.3"/>
</x:worksheet>
</file>