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bd014ff0b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42724dfc6a45cc"/>
    <x:sheet xmlns:r="http://schemas.openxmlformats.org/officeDocument/2006/relationships" name="Metrics" sheetId="2" r:id="Rf229ee1f3f3e4df9"/>
    <x:sheet xmlns:r="http://schemas.openxmlformats.org/officeDocument/2006/relationships" name="Input_Log" sheetId="3" r:id="R76bcdad7d31547e0"/>
    <x:sheet xmlns:r="http://schemas.openxmlformats.org/officeDocument/2006/relationships" name="Setup" sheetId="4" r:id="R27535e5277cb4aab"/>
    <x:sheet xmlns:r="http://schemas.openxmlformats.org/officeDocument/2006/relationships" name="Workflow_Roadmap" sheetId="5" r:id="R594a5b5ffb8c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#,##0.0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0F766E"/>
      <x:name val="Carlito"/>
    </x:font>
    <x:font>
      <x:b/>
      <x:sz val="11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B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200" fontId="5" fillId="6" borderId="5" xfId="0" applyNumberFormat="1" applyFont="1" applyFill="1" applyBorder="1" applyAlignment="1">
      <x:alignment horizontal="center" vertical="center" wrapText="1"/>
    </x:xf>
    <x:xf numFmtId="200" fontId="5" fillId="6" borderId="6" xfId="0" applyNumberFormat="1" applyFont="1" applyFill="1" applyBorder="1" applyAlignment="1">
      <x:alignment horizontal="center" vertical="center" wrapText="1"/>
    </x:xf>
    <x:xf numFmtId="200" fontId="5" fillId="6" borderId="7" xfId="0" applyNumberFormat="1" applyFont="1" applyFill="1" applyBorder="1" applyAlignment="1">
      <x:alignment horizontal="center" vertical="center" wrapText="1"/>
    </x:xf>
    <x:xf numFmtId="200" fontId="5" fillId="6" borderId="8" xfId="0" applyNumberFormat="1" applyFont="1" applyFill="1" applyBorder="1" applyAlignment="1">
      <x:alignment horizontal="center" vertical="center" wrapText="1"/>
    </x:xf>
    <x:xf numFmtId="200" fontId="5" fillId="6" borderId="9" xfId="0" applyNumberFormat="1" applyFont="1" applyFill="1" applyBorder="1" applyAlignment="1">
      <x:alignment horizontal="center" vertical="center" wrapText="1"/>
    </x:xf>
    <x:xf numFmtId="200" fontId="5" fillId="6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horizontal="center" wrapText="1"/>
    </x:xf>
    <x:xf numFmtId="0" fontId="6" fillId="7" borderId="6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9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vertical="top" wrapText="1"/>
    </x:xf>
    <x:xf numFmtId="201" fontId="4" fillId="9" borderId="1" xfId="0" applyNumberFormat="1" applyFont="1" applyFill="1" applyBorder="1" applyAlignment="1">
      <x:alignment vertical="top" wrapText="1"/>
    </x:xf>
    <x:xf numFmtId="202" fontId="4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3e2b9ede6443f" /><Relationship Type="http://schemas.openxmlformats.org/officeDocument/2006/relationships/theme" Target="/xl/theme/theme1.xml" Id="R14c14e17680d4ccd" /><Relationship Type="http://schemas.openxmlformats.org/officeDocument/2006/relationships/sharedStrings" Target="/xl/sharedStrings.xml" Id="R90ce21c33e2541a0" /><Relationship Type="http://schemas.openxmlformats.org/officeDocument/2006/relationships/worksheet" Target="/xl/worksheets/sheet1.xml" Id="R3742724dfc6a45cc" /><Relationship Type="http://schemas.openxmlformats.org/officeDocument/2006/relationships/worksheet" Target="/xl/worksheets/sheet2.xml" Id="Rf229ee1f3f3e4df9" /><Relationship Type="http://schemas.openxmlformats.org/officeDocument/2006/relationships/worksheet" Target="/xl/worksheets/sheet3.xml" Id="R76bcdad7d31547e0" /><Relationship Type="http://schemas.openxmlformats.org/officeDocument/2006/relationships/worksheet" Target="/xl/worksheets/sheet4.xml" Id="R27535e5277cb4aab" /><Relationship Type="http://schemas.openxmlformats.org/officeDocument/2006/relationships/worksheet" Target="/xl/worksheets/sheet5.xml" Id="R594a5b5ffb8c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5" hidden="0" customWidth="1"/>
    <x:col min="4" max="4" width="24" hidden="0" customWidth="1"/>
    <x:col min="5" max="5" width="16" hidden="0" customWidth="1"/>
    <x:col min="6" max="6" width="30" hidden="0" customWidth="1"/>
    <x:col min="7" max="7" width="22" hidden="0" customWidth="1"/>
    <x:col min="8" max="8" width="38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4" t="str">
        <x:v>Dashboard Hành động cho Áp dụng AI v1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9" t="str">
        <x:v>Bản trước phản biện; giữ lại để so sánh. Các ô Chưa đo không phải số liệu giả mà là tín hiệu cần khóa baseline trong pilot.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12" t="str">
        <x:v>PHẠM VI ĐÃ KHÓA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32" customHeight="1">
      <x:c r="A5" s="22" t="str">
        <x:v>Product</x:v>
      </x:c>
      <x:c r="B5" s="23" t="str">
        <x:v>Trợ lý AI soạn thảo báo cáo vận hành định kỳ</x:v>
      </x:c>
    </x:row>
    <x:row r="6" ht="32" customHeight="1">
      <x:c r="A6" s="22" t="str">
        <x:v>User</x:v>
      </x:c>
      <x:c r="B6" s="23" t="str">
        <x:v>Nhân viên vận hành</x:v>
      </x:c>
    </x:row>
    <x:row r="7" ht="32" customHeight="1">
      <x:c r="A7" s="22" t="str">
        <x:v>Workflow</x:v>
      </x:c>
      <x:c r="B7" s="23" t="str">
        <x:v>Tổng hợp dữ liệu thô → sinh bản nháp → đối soát số liệu</x:v>
      </x:c>
    </x:row>
    <x:row r="8" ht="32" customHeight="1">
      <x:c r="A8" s="22" t="str">
        <x:v>Problem</x:v>
      </x:c>
      <x:c r="B8" s="23" t="str">
        <x:v>AI có thể bịa chỉ số và viết lan man; người dùng phải kiểm tra, viết lại</x:v>
      </x:c>
    </x:row>
    <x:row r="10">
      <x:c r="A10" s="33" t="str">
        <x:v>Báo cáo AI tạo</x:v>
      </x:c>
      <x:c r="B10" s="34"/>
      <x:c r="C10" s="35"/>
      <x:c r="D10" s="33" t="str">
        <x:v>Người dùng tham gia</x:v>
      </x:c>
      <x:c r="E10" s="34"/>
      <x:c r="F10" s="35"/>
      <x:c r="G10" s="33" t="str">
        <x:v>Có nguồn</x:v>
      </x:c>
      <x:c r="H10" s="34"/>
      <x:c r="I10" s="35"/>
      <x:c r="J10" s="33" t="str">
        <x:v>Chưa đo activity</x:v>
      </x:c>
      <x:c r="K10" s="34"/>
      <x:c r="L10" s="35"/>
    </x:row>
    <x:row r="11">
      <x:c r="A11" s="61" t="str">
        <x:f>'Metrics'!K6</x:f>
        <x:v>Chưa đo</x:v>
      </x:c>
      <x:c r="B11" s="62"/>
      <x:c r="C11" s="63"/>
      <x:c r="D11" s="61" t="str">
        <x:f>'Metrics'!K7</x:f>
        <x:v>Chưa đo</x:v>
      </x:c>
      <x:c r="E11" s="62"/>
      <x:c r="F11" s="63"/>
      <x:c r="G11" s="61" t="str">
        <x:f>'Metrics'!K9</x:f>
        <x:v>Chưa đo</x:v>
      </x:c>
      <x:c r="H11" s="62"/>
      <x:c r="I11" s="63"/>
      <x:c r="J11" s="61" t="str">
        <x:f>"Chưa đo"</x:f>
        <x:v>Chưa đo</x:v>
      </x:c>
      <x:c r="K11" s="62"/>
      <x:c r="L11" s="63"/>
    </x:row>
    <x:row r="12">
      <x:c r="A12" s="64"/>
      <x:c r="B12" s="65"/>
      <x:c r="C12" s="66"/>
      <x:c r="D12" s="64"/>
      <x:c r="E12" s="65"/>
      <x:c r="F12" s="66"/>
      <x:c r="G12" s="64"/>
      <x:c r="H12" s="65"/>
      <x:c r="I12" s="66"/>
      <x:c r="J12" s="64"/>
      <x:c r="K12" s="65"/>
      <x:c r="L12" s="66"/>
    </x:row>
    <x:row r="14">
      <x:c r="A14" s="12" t="str">
        <x:v>QUYẾT ĐỊNH HIỆN TẠI</x:v>
      </x:c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87" t="str">
        <x:v>TIẾP TỤC PILOT CÓ KIỂM SOÁT — bản v1 chưa đủ mạnh để quyết định rollout vì còn thiên về activity và thiếu owner/validator.</x:v>
      </x:c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9"/>
    </x:row>
    <x:row r="16">
      <x:c r="A16" s="90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2"/>
    </x:row>
    <x:row r="18">
      <x:c r="A18" s="12" t="str">
        <x:v>BẢNG CHỈ SỐ RA QUYẾT ĐỊNH</x:v>
      </x:c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98" t="str">
        <x:v>Tầng</x:v>
      </x:c>
      <x:c r="B19" s="98" t="str">
        <x:v>Chỉ số</x:v>
      </x:c>
      <x:c r="C19" s="98" t="str">
        <x:v>Loại</x:v>
      </x:c>
      <x:c r="D19" s="98" t="str">
        <x:v>Mốc đầu</x:v>
      </x:c>
      <x:c r="E19" s="98" t="str">
        <x:v>Mục tiêu</x:v>
      </x:c>
      <x:c r="F19" s="98" t="str">
        <x:v>Nguồn dữ liệu</x:v>
      </x:c>
      <x:c r="G19" s="98" t="str">
        <x:v>Phụ trách</x:v>
      </x:c>
      <x:c r="H19" s="98" t="str">
        <x:v>Khi chỉ số xấu</x:v>
      </x:c>
      <x:c r="I19" s="98" t="str">
        <x:v>Trạng thái</x:v>
      </x:c>
    </x:row>
    <x:row r="20" ht="54" customHeight="1">
      <x:c r="A20" s="20" t="str">
        <x:f>'Metrics'!B6</x:f>
        <x:v>1. Sử dụng</x:v>
      </x:c>
      <x:c r="B20" s="20" t="str">
        <x:f>'Metrics'!C6</x:f>
        <x:v>Số báo cáo AI tạo</x:v>
      </x:c>
      <x:c r="C20" s="20" t="str">
        <x:f>'Metrics'!D6</x:f>
        <x:v>Product</x:v>
      </x:c>
      <x:c r="D20" s="20" t="str">
        <x:f>'Metrics'!E6</x:f>
        <x:v>Ghi nhận tuần 1</x:v>
      </x:c>
      <x:c r="E20" s="99" t="str">
        <x:f>'Metrics'!F6</x:f>
        <x:v>Theo dõi</x:v>
      </x:c>
      <x:c r="F20" s="20" t="str">
        <x:f>'Metrics'!G6</x:f>
        <x:v>Input_Log — mã báo cáo</x:v>
      </x:c>
      <x:c r="G20" s="20" t="str">
        <x:f>'Metrics'!H6</x:f>
        <x:v>Trưởng nhóm</x:v>
      </x:c>
      <x:c r="H20" s="20" t="str">
        <x:f>'Metrics'!I6</x:f>
        <x:v>Tìm điểm vướng trong việc dùng AI</x:v>
      </x:c>
      <x:c r="I20" s="20" t="str">
        <x:f>'Metrics'!L6</x:f>
        <x:v>Chưa đo</x:v>
      </x:c>
    </x:row>
    <x:row r="21" ht="54" customHeight="1">
      <x:c r="A21" s="20" t="str">
        <x:f>'Metrics'!B7</x:f>
        <x:v>1. Sử dụng</x:v>
      </x:c>
      <x:c r="B21" s="20" t="str">
        <x:f>'Metrics'!C7</x:f>
        <x:v>Số người dùng tham gia</x:v>
      </x:c>
      <x:c r="C21" s="20" t="str">
        <x:f>'Metrics'!D7</x:f>
        <x:v>Product</x:v>
      </x:c>
      <x:c r="D21" s="20" t="str">
        <x:f>'Metrics'!E7</x:f>
        <x:v>Ghi nhận tuần 1</x:v>
      </x:c>
      <x:c r="E21" s="99" t="str">
        <x:f>'Metrics'!F7</x:f>
        <x:v>Theo dõi</x:v>
      </x:c>
      <x:c r="F21" s="20" t="str">
        <x:f>'Metrics'!G7</x:f>
        <x:v>Danh sách pilot</x:v>
      </x:c>
      <x:c r="G21" s="20" t="str">
        <x:f>'Metrics'!H7</x:f>
        <x:v>Trưởng nhóm</x:v>
      </x:c>
      <x:c r="H21" s="20" t="str">
        <x:f>'Metrics'!I7</x:f>
        <x:v>Xác định trở ngại người dùng</x:v>
      </x:c>
      <x:c r="I21" s="20" t="str">
        <x:f>'Metrics'!L7</x:f>
        <x:v>Chưa đo</x:v>
      </x:c>
    </x:row>
    <x:row r="22" ht="54" customHeight="1">
      <x:c r="A22" s="20" t="str">
        <x:f>'Metrics'!B8</x:f>
        <x:v>2. Hành vi</x:v>
      </x:c>
      <x:c r="B22" s="20" t="str">
        <x:f>'Metrics'!C8</x:f>
        <x:v>Tỷ lệ báo cáo có dùng AI</x:v>
      </x:c>
      <x:c r="C22" s="20" t="str">
        <x:f>'Metrics'!D8</x:f>
        <x:v>Workflow</x:v>
      </x:c>
      <x:c r="D22" s="20" t="str">
        <x:f>'Metrics'!E8</x:f>
        <x:v>Chưa đo</x:v>
      </x:c>
      <x:c r="E22" s="99" t="str">
        <x:f>'Metrics'!F8</x:f>
        <x:v>Theo dõi</x:v>
      </x:c>
      <x:c r="F22" s="20" t="str">
        <x:f>'Metrics'!G8</x:f>
        <x:v>Log workflow</x:v>
      </x:c>
      <x:c r="G22" s="20" t="str">
        <x:f>'Metrics'!H8</x:f>
        <x:v>Chủ quy trình</x:v>
      </x:c>
      <x:c r="H22" s="20" t="str">
        <x:f>'Metrics'!I8</x:f>
        <x:v>Kiểm tra cách đưa AI vào quy trình</x:v>
      </x:c>
      <x:c r="I22" s="20" t="str">
        <x:f>'Metrics'!L8</x:f>
        <x:v>Chưa đo</x:v>
      </x:c>
    </x:row>
    <x:row r="23" ht="54" customHeight="1">
      <x:c r="A23" s="20" t="str">
        <x:f>'Metrics'!B9</x:f>
        <x:v>4. Chất lượng</x:v>
      </x:c>
      <x:c r="B23" s="20" t="str">
        <x:f>'Metrics'!C9</x:f>
        <x:v>Tỷ lệ chỉ số có nguồn</x:v>
      </x:c>
      <x:c r="C23" s="20" t="str">
        <x:f>'Metrics'!D9</x:f>
        <x:v>Quality</x:v>
      </x:c>
      <x:c r="D23" s="20" t="str">
        <x:f>'Metrics'!E9</x:f>
        <x:v>Đo 5 báo cáo pilot</x:v>
      </x:c>
      <x:c r="E23" s="99" t="n">
        <x:f>'Metrics'!F9</x:f>
        <x:v>0.95</x:v>
      </x:c>
      <x:c r="F23" s="20" t="str">
        <x:f>'Metrics'!G9</x:f>
        <x:v>QA/đối chiếu Input_Log</x:v>
      </x:c>
      <x:c r="G23" s="20" t="str">
        <x:f>'Metrics'!H9</x:f>
        <x:v>Phụ trách QA</x:v>
      </x:c>
      <x:c r="H23" s="20" t="str">
        <x:f>'Metrics'!I9</x:f>
        <x:v>Tăng kiểm soát và dừng mở rộng</x:v>
      </x:c>
      <x:c r="I23" s="20" t="str">
        <x:f>'Metrics'!L9</x:f>
        <x:v>Chưa đo</x:v>
      </x:c>
    </x:row>
    <x:row r="24" ht="54" customHeight="1">
      <x:c r="A24" s="20" t="str">
        <x:f>'Metrics'!B10</x:f>
        <x:v>4. Chất lượng</x:v>
      </x:c>
      <x:c r="B24" s="20" t="str">
        <x:f>'Metrics'!C10</x:f>
        <x:v>Tỷ lệ nội dung phải viết lại</x:v>
      </x:c>
      <x:c r="C24" s="20" t="str">
        <x:f>'Metrics'!D10</x:f>
        <x:v>Workflow</x:v>
      </x:c>
      <x:c r="D24" s="20" t="str">
        <x:f>'Metrics'!E10</x:f>
        <x:v>Đo 5 báo cáo pilot</x:v>
      </x:c>
      <x:c r="E24" s="99" t="n">
        <x:f>'Metrics'!F10</x:f>
        <x:v>0.2</x:v>
      </x:c>
      <x:c r="F24" s="20" t="str">
        <x:f>'Metrics'!G10</x:f>
        <x:v>So sánh bản nháp/bản cuối</x:v>
      </x:c>
      <x:c r="G24" s="20" t="str">
        <x:f>'Metrics'!H10</x:f>
        <x:v>Chủ quy trình</x:v>
      </x:c>
      <x:c r="H24" s="20" t="str">
        <x:f>'Metrics'!I10</x:f>
        <x:v>Xem lại template và prompt</x:v>
      </x:c>
      <x:c r="I24" s="20" t="str">
        <x:f>'Metrics'!L10</x:f>
        <x:v>Chưa đo</x:v>
      </x:c>
    </x:row>
    <x:row r="26">
      <x:c r="A26" s="12" t="str">
        <x:v>CÁCH ĐỌC VÀ GATE</x:v>
      </x:c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18" t="str">
        <x:v>Ghi nhận v1 để đối chiếu. Sau phản biện, v2 thay activity bằng metric giá trị/workflow và bổ sung validator, owner, điểm bàn giao cùng gate 30–60–90.</x:v>
      </x:c>
      <x:c r="B27" s="119"/>
      <x:c r="C27" s="119"/>
      <x:c r="D27" s="119"/>
      <x:c r="E27" s="119"/>
      <x:c r="F27" s="119"/>
      <x:c r="G27" s="119"/>
      <x:c r="H27" s="119"/>
      <x:c r="I27" s="120"/>
    </x:row>
    <x:row r="28">
      <x:c r="A28" s="121"/>
      <x:c r="B28" s="122"/>
      <x:c r="C28" s="122"/>
      <x:c r="D28" s="122"/>
      <x:c r="E28" s="122"/>
      <x:c r="F28" s="122"/>
      <x:c r="G28" s="122"/>
      <x:c r="H28" s="122"/>
      <x:c r="I28" s="123"/>
    </x:row>
    <x:row r="29">
      <x:c r="A29" s="124"/>
      <x:c r="B29" s="125"/>
      <x:c r="C29" s="125"/>
      <x:c r="D29" s="125"/>
      <x:c r="E29" s="125"/>
      <x:c r="F29" s="125"/>
      <x:c r="G29" s="125"/>
      <x:c r="H29" s="125"/>
      <x:c r="I29" s="126"/>
    </x:row>
  </x:sheetData>
  <x:mergeCells>
    <x:mergeCell ref="A1:L1"/>
    <x:mergeCell ref="A2:L2"/>
    <x:mergeCell ref="A4:L4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14:L14"/>
    <x:mergeCell ref="A15:L16"/>
    <x:mergeCell ref="A18:I18"/>
    <x:mergeCell ref="A26:I26"/>
    <x:mergeCell ref="A27:I29"/>
  </x:mergeCells>
  <x:conditionalFormatting sqref="I20:I24">
    <x:cfRule type="containsText" dxfId="0" priority="1" operator="containsText" text="ĐẠT"/>
    <x:cfRule type="containsText" dxfId="1" priority="2" operator="containsText" text="CHƯA ĐẠT"/>
    <x:cfRule type="containsText" dxfId="2" priority="3" operator="containsText" text="Chưa đ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15" hidden="0" customWidth="1"/>
    <x:col min="5" max="5" width="23" hidden="0" customWidth="1"/>
    <x:col min="6" max="6" width="14" hidden="0" customWidth="1"/>
    <x:col min="7" max="7" width="28" hidden="0" customWidth="1"/>
    <x:col min="8" max="8" width="20" hidden="0" customWidth="1"/>
    <x:col min="9" max="9" width="38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4" t="str">
        <x:v>Metrics — Chỉ số Dashboard v1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9" t="str">
        <x:v>v1 trước phản biện: bản đầu còn thiên về activity; giữ lại để đối chiếu với v2. Current và Status lấy từ Input_Log khi có dữ liệu.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>
      <x:c r="A4" s="12" t="str">
        <x:v>BẢNG CHỈ SỐ VÀ LOGIC RA QUYẾT ĐỊNH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98" t="str">
        <x:v>ID</x:v>
      </x:c>
      <x:c r="B5" s="98" t="str">
        <x:v>Tầng</x:v>
      </x:c>
      <x:c r="C5" s="98" t="str">
        <x:v>Chỉ số</x:v>
      </x:c>
      <x:c r="D5" s="98" t="str">
        <x:v>Loại</x:v>
      </x:c>
      <x:c r="E5" s="98" t="str">
        <x:v>Mốc đầu</x:v>
      </x:c>
      <x:c r="F5" s="98" t="str">
        <x:v>Mục tiêu</x:v>
      </x:c>
      <x:c r="G5" s="98" t="str">
        <x:v>Nguồn dữ liệu</x:v>
      </x:c>
      <x:c r="H5" s="98" t="str">
        <x:v>Phụ trách</x:v>
      </x:c>
      <x:c r="I5" s="98" t="str">
        <x:v>Khi chỉ số xấu</x:v>
      </x:c>
      <x:c r="J5" s="98" t="str">
        <x:v>Hướng</x:v>
      </x:c>
      <x:c r="K5" s="98" t="str">
        <x:v>Current</x:v>
      </x:c>
      <x:c r="L5" s="98" t="str">
        <x:v>Status</x:v>
      </x:c>
    </x:row>
    <x:row r="6" ht="42" customHeight="1">
      <x:c r="A6" s="20" t="str">
        <x:v>V1-01</x:v>
      </x:c>
      <x:c r="B6" s="20" t="str">
        <x:v>1. Sử dụng</x:v>
      </x:c>
      <x:c r="C6" s="20" t="str">
        <x:v>Số báo cáo AI tạo</x:v>
      </x:c>
      <x:c r="D6" s="20" t="str">
        <x:v>Product</x:v>
      </x:c>
      <x:c r="E6" s="20" t="str">
        <x:v>Ghi nhận tuần 1</x:v>
      </x:c>
      <x:c r="F6" s="99" t="str">
        <x:v>Theo dõi</x:v>
      </x:c>
      <x:c r="G6" s="20" t="str">
        <x:v>Input_Log — mã báo cáo</x:v>
      </x:c>
      <x:c r="H6" s="20" t="str">
        <x:v>Trưởng nhóm</x:v>
      </x:c>
      <x:c r="I6" s="20" t="str">
        <x:v>Tìm điểm vướng trong việc dùng AI</x:v>
      </x:c>
      <x:c r="J6" s="20" t="str">
        <x:v>Theo dõi</x:v>
      </x:c>
      <x:c r="K6" s="99" t="str">
        <x:f>IF(COUNTIF('Input_Log'!$A$6:$A$35,"&lt;&gt;")=0,"Chưa đo",COUNTIF('Input_Log'!$A$6:$A$35,"&lt;&gt;"))</x:f>
        <x:v>Chưa đo</x:v>
      </x:c>
      <x:c r="L6" s="20" t="str">
        <x:f>IF(ISNUMBER(K6),IF(J6="Tăng",IF(K6&gt;=F6,"ĐẠT","CHƯA ĐẠT"),IF(K6&lt;=F6,"ĐẠT","CHƯA ĐẠT")),"Chưa đo")</x:f>
        <x:v>Chưa đo</x:v>
      </x:c>
    </x:row>
    <x:row r="7" ht="42" customHeight="1">
      <x:c r="A7" s="20" t="str">
        <x:v>V1-02</x:v>
      </x:c>
      <x:c r="B7" s="20" t="str">
        <x:v>1. Sử dụng</x:v>
      </x:c>
      <x:c r="C7" s="20" t="str">
        <x:v>Số người dùng tham gia</x:v>
      </x:c>
      <x:c r="D7" s="20" t="str">
        <x:v>Product</x:v>
      </x:c>
      <x:c r="E7" s="20" t="str">
        <x:v>Ghi nhận tuần 1</x:v>
      </x:c>
      <x:c r="F7" s="99" t="str">
        <x:v>Theo dõi</x:v>
      </x:c>
      <x:c r="G7" s="20" t="str">
        <x:v>Danh sách pilot</x:v>
      </x:c>
      <x:c r="H7" s="20" t="str">
        <x:v>Trưởng nhóm</x:v>
      </x:c>
      <x:c r="I7" s="20" t="str">
        <x:v>Xác định trở ngại người dùng</x:v>
      </x:c>
      <x:c r="J7" s="20" t="str">
        <x:v>Theo dõi</x:v>
      </x:c>
      <x:c r="K7" s="99" t="str">
        <x:f>"Chưa đo"</x:f>
        <x:v>Chưa đo</x:v>
      </x:c>
      <x:c r="L7" s="20" t="str">
        <x:f>IF(ISNUMBER(K7),IF(J7="Tăng",IF(K7&gt;=F7,"ĐẠT","CHƯA ĐẠT"),IF(K7&lt;=F7,"ĐẠT","CHƯA ĐẠT")),"Chưa đo")</x:f>
        <x:v>Chưa đo</x:v>
      </x:c>
    </x:row>
    <x:row r="8" ht="42" customHeight="1">
      <x:c r="A8" s="20" t="str">
        <x:v>V1-03</x:v>
      </x:c>
      <x:c r="B8" s="20" t="str">
        <x:v>2. Hành vi</x:v>
      </x:c>
      <x:c r="C8" s="20" t="str">
        <x:v>Tỷ lệ báo cáo có dùng AI</x:v>
      </x:c>
      <x:c r="D8" s="20" t="str">
        <x:v>Workflow</x:v>
      </x:c>
      <x:c r="E8" s="20" t="str">
        <x:v>Chưa đo</x:v>
      </x:c>
      <x:c r="F8" s="99" t="str">
        <x:v>Theo dõi</x:v>
      </x:c>
      <x:c r="G8" s="20" t="str">
        <x:v>Log workflow</x:v>
      </x:c>
      <x:c r="H8" s="20" t="str">
        <x:v>Chủ quy trình</x:v>
      </x:c>
      <x:c r="I8" s="20" t="str">
        <x:v>Kiểm tra cách đưa AI vào quy trình</x:v>
      </x:c>
      <x:c r="J8" s="20" t="str">
        <x:v>Theo dõi</x:v>
      </x:c>
      <x:c r="K8" s="99" t="str">
        <x:f>"Chưa đo"</x:f>
        <x:v>Chưa đo</x:v>
      </x:c>
      <x:c r="L8" s="20" t="str">
        <x:f>IF(ISNUMBER(K8),IF(J8="Tăng",IF(K8&gt;=F8,"ĐẠT","CHƯA ĐẠT"),IF(K8&lt;=F8,"ĐẠT","CHƯA ĐẠT")),"Chưa đo")</x:f>
        <x:v>Chưa đo</x:v>
      </x:c>
    </x:row>
    <x:row r="9" ht="42" customHeight="1">
      <x:c r="A9" s="20" t="str">
        <x:v>V1-04</x:v>
      </x:c>
      <x:c r="B9" s="20" t="str">
        <x:v>4. Chất lượng</x:v>
      </x:c>
      <x:c r="C9" s="20" t="str">
        <x:v>Tỷ lệ chỉ số có nguồn</x:v>
      </x:c>
      <x:c r="D9" s="20" t="str">
        <x:v>Quality</x:v>
      </x:c>
      <x:c r="E9" s="20" t="str">
        <x:v>Đo 5 báo cáo pilot</x:v>
      </x:c>
      <x:c r="F9" s="99" t="n">
        <x:v>0.95</x:v>
      </x:c>
      <x:c r="G9" s="20" t="str">
        <x:v>QA/đối chiếu Input_Log</x:v>
      </x:c>
      <x:c r="H9" s="20" t="str">
        <x:v>Phụ trách QA</x:v>
      </x:c>
      <x:c r="I9" s="20" t="str">
        <x:v>Tăng kiểm soát và dừng mở rộng</x:v>
      </x:c>
      <x:c r="J9" s="20" t="str">
        <x:v>Tăng</x:v>
      </x:c>
      <x:c r="K9" s="99" t="str">
        <x:f>IF(COUNTIF('Input_Log'!$A$6:$A$35,"&lt;&gt;")=0,"Chưa đo",COUNTIF('Input_Log'!$E$6:$E$35,"Có")/COUNTIF('Input_Log'!$A$6:$A$35,"&lt;&gt;"))</x:f>
        <x:v>Chưa đo</x:v>
      </x:c>
      <x:c r="L9" s="20" t="str">
        <x:f>IF(ISNUMBER(K9),IF(J9="Tăng",IF(K9&gt;=F9,"ĐẠT","CHƯA ĐẠT"),IF(K9&lt;=F9,"ĐẠT","CHƯA ĐẠT")),"Chưa đo")</x:f>
        <x:v>Chưa đo</x:v>
      </x:c>
    </x:row>
    <x:row r="10" ht="42" customHeight="1">
      <x:c r="A10" s="20" t="str">
        <x:v>V1-05</x:v>
      </x:c>
      <x:c r="B10" s="20" t="str">
        <x:v>4. Chất lượng</x:v>
      </x:c>
      <x:c r="C10" s="20" t="str">
        <x:v>Tỷ lệ nội dung phải viết lại</x:v>
      </x:c>
      <x:c r="D10" s="20" t="str">
        <x:v>Workflow</x:v>
      </x:c>
      <x:c r="E10" s="20" t="str">
        <x:v>Đo 5 báo cáo pilot</x:v>
      </x:c>
      <x:c r="F10" s="99" t="n">
        <x:v>0.2</x:v>
      </x:c>
      <x:c r="G10" s="20" t="str">
        <x:v>So sánh bản nháp/bản cuối</x:v>
      </x:c>
      <x:c r="H10" s="20" t="str">
        <x:v>Chủ quy trình</x:v>
      </x:c>
      <x:c r="I10" s="20" t="str">
        <x:v>Xem lại template và prompt</x:v>
      </x:c>
      <x:c r="J10" s="20" t="str">
        <x:v>Giảm</x:v>
      </x:c>
      <x:c r="K10" s="99" t="str">
        <x:f>IF(SUM('Input_Log'!$G$6:$G$35)=0,"Chưa đo",SUM('Input_Log'!$F$6:$F$35)/SUM('Input_Log'!$G$6:$G$35))</x:f>
        <x:v>Chưa đo</x:v>
      </x:c>
      <x:c r="L10" s="20" t="str">
        <x:f>IF(ISNUMBER(K10),IF(J10="Tăng",IF(K10&gt;=F10,"ĐẠT","CHƯA ĐẠT"),IF(K10&lt;=F10,"ĐẠT","CHƯA ĐẠT")),"Chưa đo")</x:f>
        <x:v>Chưa đo</x:v>
      </x:c>
    </x:row>
  </x:sheetData>
  <x:mergeCells>
    <x:mergeCell ref="A1:L1"/>
    <x:mergeCell ref="A2:L2"/>
    <x:mergeCell ref="A4:L4"/>
  </x:mergeCells>
  <x:conditionalFormatting sqref="L6:L10">
    <x:cfRule type="containsText" dxfId="3" priority="1" operator="containsText" text="ĐẠT"/>
    <x:cfRule type="containsText" dxfId="4" priority="2" operator="containsText" text="CHƯA ĐẠT"/>
    <x:cfRule type="containsText" dxfId="5" priority="3" operator="containsText" text="Chưa đ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7" hidden="0" customWidth="1"/>
    <x:col min="5" max="5" width="18" hidden="0" customWidth="1"/>
    <x:col min="6" max="6" width="17" hidden="0" customWidth="1"/>
    <x:col min="7" max="7" width="15" hidden="0" customWidth="1"/>
    <x:col min="8" max="8" width="14" hidden="0" customWidth="1"/>
    <x:col min="9" max="9" width="14" hidden="0" customWidth="1"/>
    <x:col min="10" max="10" width="24" hidden="0" customWidth="1"/>
    <x:col min="11" max="11" width="20" hidden="0" customWidth="1"/>
    <x:col min="12" max="12" width="32" hidden="0" customWidth="1"/>
    <x:col min="13" max="13" width="30" hidden="0" customWidth="1"/>
  </x:cols>
  <x:sheetData>
    <x:row r="1" ht="28" customHeight="1">
      <x:c r="A1" s="4" t="str">
        <x:v>Input Log — Nhật ký báo cáo pilot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9" t="str">
        <x:v>Chỉ nhập dữ liệu thực tế sau khi nhóm chạy pilot; ô vàng là ô nhập liệu. Không đưa dữ liệu nội bộ nhạy cảm vào repo public.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>
      <x:c r="A4" s="12" t="str">
        <x:v>NHẬT KÝ ĐO LƯỜNG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>
      <x:c r="A5" s="98" t="str">
        <x:v>Mã báo cáo</x:v>
      </x:c>
      <x:c r="B5" s="98" t="str">
        <x:v>Ngày</x:v>
      </x:c>
      <x:c r="C5" s="98" t="str">
        <x:v>Nguồn đã khóa?</x:v>
      </x:c>
      <x:c r="D5" s="98" t="str">
        <x:v>Duyệt vòng đầu?</x:v>
      </x:c>
      <x:c r="E5" s="98" t="str">
        <x:v>Chỉ số có nguồn?</x:v>
      </x:c>
      <x:c r="F5" s="98" t="str">
        <x:v>Số đoạn viết lại</x:v>
      </x:c>
      <x:c r="G5" s="98" t="str">
        <x:v>Tổng số đoạn</x:v>
      </x:c>
      <x:c r="H5" s="98" t="str">
        <x:v>Phút xử lý</x:v>
      </x:c>
      <x:c r="I5" s="98" t="str">
        <x:v>Có ngoại lệ?</x:v>
      </x:c>
      <x:c r="J5" s="98" t="str">
        <x:v>Ngoại lệ chuyển đúng owner?</x:v>
      </x:c>
      <x:c r="K5" s="98" t="str">
        <x:v>Người duyệt</x:v>
      </x:c>
      <x:c r="L5" s="98" t="str">
        <x:v>Ghi chú</x:v>
      </x:c>
      <x:c r="M5" s="98" t="str">
        <x:v>Link/ID nguồn (nếu có)</x:v>
      </x:c>
    </x:row>
    <x:row r="6" ht="24" customHeight="1">
      <x:c r="A6" s="131"/>
      <x:c r="B6" s="132"/>
      <x:c r="C6" s="131"/>
      <x:c r="D6" s="131"/>
      <x:c r="E6" s="131"/>
      <x:c r="F6" s="133"/>
      <x:c r="G6" s="133"/>
      <x:c r="H6" s="133"/>
      <x:c r="I6" s="131"/>
      <x:c r="J6" s="131"/>
      <x:c r="K6" s="131"/>
      <x:c r="L6" s="131"/>
      <x:c r="M6" s="131"/>
    </x:row>
    <x:row r="7" ht="24" customHeight="1">
      <x:c r="A7" s="131"/>
      <x:c r="B7" s="132"/>
      <x:c r="C7" s="131"/>
      <x:c r="D7" s="131"/>
      <x:c r="E7" s="131"/>
      <x:c r="F7" s="133"/>
      <x:c r="G7" s="133"/>
      <x:c r="H7" s="133"/>
      <x:c r="I7" s="131"/>
      <x:c r="J7" s="131"/>
      <x:c r="K7" s="131"/>
      <x:c r="L7" s="131"/>
      <x:c r="M7" s="131"/>
    </x:row>
    <x:row r="8" ht="24" customHeight="1">
      <x:c r="A8" s="131"/>
      <x:c r="B8" s="132"/>
      <x:c r="C8" s="131"/>
      <x:c r="D8" s="131"/>
      <x:c r="E8" s="131"/>
      <x:c r="F8" s="133"/>
      <x:c r="G8" s="133"/>
      <x:c r="H8" s="133"/>
      <x:c r="I8" s="131"/>
      <x:c r="J8" s="131"/>
      <x:c r="K8" s="131"/>
      <x:c r="L8" s="131"/>
      <x:c r="M8" s="131"/>
    </x:row>
    <x:row r="9" ht="24" customHeight="1">
      <x:c r="A9" s="131"/>
      <x:c r="B9" s="132"/>
      <x:c r="C9" s="131"/>
      <x:c r="D9" s="131"/>
      <x:c r="E9" s="131"/>
      <x:c r="F9" s="133"/>
      <x:c r="G9" s="133"/>
      <x:c r="H9" s="133"/>
      <x:c r="I9" s="131"/>
      <x:c r="J9" s="131"/>
      <x:c r="K9" s="131"/>
      <x:c r="L9" s="131"/>
      <x:c r="M9" s="131"/>
    </x:row>
    <x:row r="10" ht="24" customHeight="1">
      <x:c r="A10" s="131"/>
      <x:c r="B10" s="132"/>
      <x:c r="C10" s="131"/>
      <x:c r="D10" s="131"/>
      <x:c r="E10" s="131"/>
      <x:c r="F10" s="133"/>
      <x:c r="G10" s="133"/>
      <x:c r="H10" s="133"/>
      <x:c r="I10" s="131"/>
      <x:c r="J10" s="131"/>
      <x:c r="K10" s="131"/>
      <x:c r="L10" s="131"/>
      <x:c r="M10" s="131"/>
    </x:row>
    <x:row r="11" ht="24" customHeight="1">
      <x:c r="A11" s="131"/>
      <x:c r="B11" s="132"/>
      <x:c r="C11" s="131"/>
      <x:c r="D11" s="131"/>
      <x:c r="E11" s="131"/>
      <x:c r="F11" s="133"/>
      <x:c r="G11" s="133"/>
      <x:c r="H11" s="133"/>
      <x:c r="I11" s="131"/>
      <x:c r="J11" s="131"/>
      <x:c r="K11" s="131"/>
      <x:c r="L11" s="131"/>
      <x:c r="M11" s="131"/>
    </x:row>
    <x:row r="12" ht="24" customHeight="1">
      <x:c r="A12" s="131"/>
      <x:c r="B12" s="132"/>
      <x:c r="C12" s="131"/>
      <x:c r="D12" s="131"/>
      <x:c r="E12" s="131"/>
      <x:c r="F12" s="133"/>
      <x:c r="G12" s="133"/>
      <x:c r="H12" s="133"/>
      <x:c r="I12" s="131"/>
      <x:c r="J12" s="131"/>
      <x:c r="K12" s="131"/>
      <x:c r="L12" s="131"/>
      <x:c r="M12" s="131"/>
    </x:row>
    <x:row r="13" ht="24" customHeight="1">
      <x:c r="A13" s="131"/>
      <x:c r="B13" s="132"/>
      <x:c r="C13" s="131"/>
      <x:c r="D13" s="131"/>
      <x:c r="E13" s="131"/>
      <x:c r="F13" s="133"/>
      <x:c r="G13" s="133"/>
      <x:c r="H13" s="133"/>
      <x:c r="I13" s="131"/>
      <x:c r="J13" s="131"/>
      <x:c r="K13" s="131"/>
      <x:c r="L13" s="131"/>
      <x:c r="M13" s="131"/>
    </x:row>
    <x:row r="14" ht="24" customHeight="1">
      <x:c r="A14" s="131"/>
      <x:c r="B14" s="132"/>
      <x:c r="C14" s="131"/>
      <x:c r="D14" s="131"/>
      <x:c r="E14" s="131"/>
      <x:c r="F14" s="133"/>
      <x:c r="G14" s="133"/>
      <x:c r="H14" s="133"/>
      <x:c r="I14" s="131"/>
      <x:c r="J14" s="131"/>
      <x:c r="K14" s="131"/>
      <x:c r="L14" s="131"/>
      <x:c r="M14" s="131"/>
    </x:row>
    <x:row r="15" ht="24" customHeight="1">
      <x:c r="A15" s="131"/>
      <x:c r="B15" s="132"/>
      <x:c r="C15" s="131"/>
      <x:c r="D15" s="131"/>
      <x:c r="E15" s="131"/>
      <x:c r="F15" s="133"/>
      <x:c r="G15" s="133"/>
      <x:c r="H15" s="133"/>
      <x:c r="I15" s="131"/>
      <x:c r="J15" s="131"/>
      <x:c r="K15" s="131"/>
      <x:c r="L15" s="131"/>
      <x:c r="M15" s="131"/>
    </x:row>
    <x:row r="16" ht="24" customHeight="1">
      <x:c r="A16" s="131"/>
      <x:c r="B16" s="132"/>
      <x:c r="C16" s="131"/>
      <x:c r="D16" s="131"/>
      <x:c r="E16" s="131"/>
      <x:c r="F16" s="133"/>
      <x:c r="G16" s="133"/>
      <x:c r="H16" s="133"/>
      <x:c r="I16" s="131"/>
      <x:c r="J16" s="131"/>
      <x:c r="K16" s="131"/>
      <x:c r="L16" s="131"/>
      <x:c r="M16" s="131"/>
    </x:row>
    <x:row r="17" ht="24" customHeight="1">
      <x:c r="A17" s="131"/>
      <x:c r="B17" s="132"/>
      <x:c r="C17" s="131"/>
      <x:c r="D17" s="131"/>
      <x:c r="E17" s="131"/>
      <x:c r="F17" s="133"/>
      <x:c r="G17" s="133"/>
      <x:c r="H17" s="133"/>
      <x:c r="I17" s="131"/>
      <x:c r="J17" s="131"/>
      <x:c r="K17" s="131"/>
      <x:c r="L17" s="131"/>
      <x:c r="M17" s="131"/>
    </x:row>
    <x:row r="18" ht="24" customHeight="1">
      <x:c r="A18" s="131"/>
      <x:c r="B18" s="132"/>
      <x:c r="C18" s="131"/>
      <x:c r="D18" s="131"/>
      <x:c r="E18" s="131"/>
      <x:c r="F18" s="133"/>
      <x:c r="G18" s="133"/>
      <x:c r="H18" s="133"/>
      <x:c r="I18" s="131"/>
      <x:c r="J18" s="131"/>
      <x:c r="K18" s="131"/>
      <x:c r="L18" s="131"/>
      <x:c r="M18" s="131"/>
    </x:row>
    <x:row r="19" ht="24" customHeight="1">
      <x:c r="A19" s="131"/>
      <x:c r="B19" s="132"/>
      <x:c r="C19" s="131"/>
      <x:c r="D19" s="131"/>
      <x:c r="E19" s="131"/>
      <x:c r="F19" s="133"/>
      <x:c r="G19" s="133"/>
      <x:c r="H19" s="133"/>
      <x:c r="I19" s="131"/>
      <x:c r="J19" s="131"/>
      <x:c r="K19" s="131"/>
      <x:c r="L19" s="131"/>
      <x:c r="M19" s="131"/>
    </x:row>
    <x:row r="20" ht="24" customHeight="1">
      <x:c r="A20" s="131"/>
      <x:c r="B20" s="132"/>
      <x:c r="C20" s="131"/>
      <x:c r="D20" s="131"/>
      <x:c r="E20" s="131"/>
      <x:c r="F20" s="133"/>
      <x:c r="G20" s="133"/>
      <x:c r="H20" s="133"/>
      <x:c r="I20" s="131"/>
      <x:c r="J20" s="131"/>
      <x:c r="K20" s="131"/>
      <x:c r="L20" s="131"/>
      <x:c r="M20" s="131"/>
    </x:row>
    <x:row r="21" ht="24" customHeight="1">
      <x:c r="A21" s="131"/>
      <x:c r="B21" s="132"/>
      <x:c r="C21" s="131"/>
      <x:c r="D21" s="131"/>
      <x:c r="E21" s="131"/>
      <x:c r="F21" s="133"/>
      <x:c r="G21" s="133"/>
      <x:c r="H21" s="133"/>
      <x:c r="I21" s="131"/>
      <x:c r="J21" s="131"/>
      <x:c r="K21" s="131"/>
      <x:c r="L21" s="131"/>
      <x:c r="M21" s="131"/>
    </x:row>
    <x:row r="22" ht="24" customHeight="1">
      <x:c r="A22" s="131"/>
      <x:c r="B22" s="132"/>
      <x:c r="C22" s="131"/>
      <x:c r="D22" s="131"/>
      <x:c r="E22" s="131"/>
      <x:c r="F22" s="133"/>
      <x:c r="G22" s="133"/>
      <x:c r="H22" s="133"/>
      <x:c r="I22" s="131"/>
      <x:c r="J22" s="131"/>
      <x:c r="K22" s="131"/>
      <x:c r="L22" s="131"/>
      <x:c r="M22" s="131"/>
    </x:row>
    <x:row r="23" ht="24" customHeight="1">
      <x:c r="A23" s="131"/>
      <x:c r="B23" s="132"/>
      <x:c r="C23" s="131"/>
      <x:c r="D23" s="131"/>
      <x:c r="E23" s="131"/>
      <x:c r="F23" s="133"/>
      <x:c r="G23" s="133"/>
      <x:c r="H23" s="133"/>
      <x:c r="I23" s="131"/>
      <x:c r="J23" s="131"/>
      <x:c r="K23" s="131"/>
      <x:c r="L23" s="131"/>
      <x:c r="M23" s="131"/>
    </x:row>
    <x:row r="24" ht="24" customHeight="1">
      <x:c r="A24" s="131"/>
      <x:c r="B24" s="132"/>
      <x:c r="C24" s="131"/>
      <x:c r="D24" s="131"/>
      <x:c r="E24" s="131"/>
      <x:c r="F24" s="133"/>
      <x:c r="G24" s="133"/>
      <x:c r="H24" s="133"/>
      <x:c r="I24" s="131"/>
      <x:c r="J24" s="131"/>
      <x:c r="K24" s="131"/>
      <x:c r="L24" s="131"/>
      <x:c r="M24" s="131"/>
    </x:row>
    <x:row r="25" ht="24" customHeight="1">
      <x:c r="A25" s="131"/>
      <x:c r="B25" s="132"/>
      <x:c r="C25" s="131"/>
      <x:c r="D25" s="131"/>
      <x:c r="E25" s="131"/>
      <x:c r="F25" s="133"/>
      <x:c r="G25" s="133"/>
      <x:c r="H25" s="133"/>
      <x:c r="I25" s="131"/>
      <x:c r="J25" s="131"/>
      <x:c r="K25" s="131"/>
      <x:c r="L25" s="131"/>
      <x:c r="M25" s="131"/>
    </x:row>
    <x:row r="26" ht="24" customHeight="1">
      <x:c r="A26" s="131"/>
      <x:c r="B26" s="132"/>
      <x:c r="C26" s="131"/>
      <x:c r="D26" s="131"/>
      <x:c r="E26" s="131"/>
      <x:c r="F26" s="133"/>
      <x:c r="G26" s="133"/>
      <x:c r="H26" s="133"/>
      <x:c r="I26" s="131"/>
      <x:c r="J26" s="131"/>
      <x:c r="K26" s="131"/>
      <x:c r="L26" s="131"/>
      <x:c r="M26" s="131"/>
    </x:row>
    <x:row r="27" ht="24" customHeight="1">
      <x:c r="A27" s="131"/>
      <x:c r="B27" s="132"/>
      <x:c r="C27" s="131"/>
      <x:c r="D27" s="131"/>
      <x:c r="E27" s="131"/>
      <x:c r="F27" s="133"/>
      <x:c r="G27" s="133"/>
      <x:c r="H27" s="133"/>
      <x:c r="I27" s="131"/>
      <x:c r="J27" s="131"/>
      <x:c r="K27" s="131"/>
      <x:c r="L27" s="131"/>
      <x:c r="M27" s="131"/>
    </x:row>
    <x:row r="28" ht="24" customHeight="1">
      <x:c r="A28" s="131"/>
      <x:c r="B28" s="132"/>
      <x:c r="C28" s="131"/>
      <x:c r="D28" s="131"/>
      <x:c r="E28" s="131"/>
      <x:c r="F28" s="133"/>
      <x:c r="G28" s="133"/>
      <x:c r="H28" s="133"/>
      <x:c r="I28" s="131"/>
      <x:c r="J28" s="131"/>
      <x:c r="K28" s="131"/>
      <x:c r="L28" s="131"/>
      <x:c r="M28" s="131"/>
    </x:row>
    <x:row r="29" ht="24" customHeight="1">
      <x:c r="A29" s="131"/>
      <x:c r="B29" s="132"/>
      <x:c r="C29" s="131"/>
      <x:c r="D29" s="131"/>
      <x:c r="E29" s="131"/>
      <x:c r="F29" s="133"/>
      <x:c r="G29" s="133"/>
      <x:c r="H29" s="133"/>
      <x:c r="I29" s="131"/>
      <x:c r="J29" s="131"/>
      <x:c r="K29" s="131"/>
      <x:c r="L29" s="131"/>
      <x:c r="M29" s="131"/>
    </x:row>
    <x:row r="30" ht="24" customHeight="1">
      <x:c r="A30" s="131"/>
      <x:c r="B30" s="132"/>
      <x:c r="C30" s="131"/>
      <x:c r="D30" s="131"/>
      <x:c r="E30" s="131"/>
      <x:c r="F30" s="133"/>
      <x:c r="G30" s="133"/>
      <x:c r="H30" s="133"/>
      <x:c r="I30" s="131"/>
      <x:c r="J30" s="131"/>
      <x:c r="K30" s="131"/>
      <x:c r="L30" s="131"/>
      <x:c r="M30" s="131"/>
    </x:row>
    <x:row r="31" ht="24" customHeight="1">
      <x:c r="A31" s="131"/>
      <x:c r="B31" s="132"/>
      <x:c r="C31" s="131"/>
      <x:c r="D31" s="131"/>
      <x:c r="E31" s="131"/>
      <x:c r="F31" s="133"/>
      <x:c r="G31" s="133"/>
      <x:c r="H31" s="133"/>
      <x:c r="I31" s="131"/>
      <x:c r="J31" s="131"/>
      <x:c r="K31" s="131"/>
      <x:c r="L31" s="131"/>
      <x:c r="M31" s="131"/>
    </x:row>
    <x:row r="32" ht="24" customHeight="1">
      <x:c r="A32" s="131"/>
      <x:c r="B32" s="132"/>
      <x:c r="C32" s="131"/>
      <x:c r="D32" s="131"/>
      <x:c r="E32" s="131"/>
      <x:c r="F32" s="133"/>
      <x:c r="G32" s="133"/>
      <x:c r="H32" s="133"/>
      <x:c r="I32" s="131"/>
      <x:c r="J32" s="131"/>
      <x:c r="K32" s="131"/>
      <x:c r="L32" s="131"/>
      <x:c r="M32" s="131"/>
    </x:row>
    <x:row r="33" ht="24" customHeight="1">
      <x:c r="A33" s="131"/>
      <x:c r="B33" s="132"/>
      <x:c r="C33" s="131"/>
      <x:c r="D33" s="131"/>
      <x:c r="E33" s="131"/>
      <x:c r="F33" s="133"/>
      <x:c r="G33" s="133"/>
      <x:c r="H33" s="133"/>
      <x:c r="I33" s="131"/>
      <x:c r="J33" s="131"/>
      <x:c r="K33" s="131"/>
      <x:c r="L33" s="131"/>
      <x:c r="M33" s="131"/>
    </x:row>
    <x:row r="34" ht="24" customHeight="1">
      <x:c r="A34" s="131"/>
      <x:c r="B34" s="132"/>
      <x:c r="C34" s="131"/>
      <x:c r="D34" s="131"/>
      <x:c r="E34" s="131"/>
      <x:c r="F34" s="133"/>
      <x:c r="G34" s="133"/>
      <x:c r="H34" s="133"/>
      <x:c r="I34" s="131"/>
      <x:c r="J34" s="131"/>
      <x:c r="K34" s="131"/>
      <x:c r="L34" s="131"/>
      <x:c r="M34" s="131"/>
    </x:row>
    <x:row r="35" ht="24" customHeight="1">
      <x:c r="A35" s="131"/>
      <x:c r="B35" s="132"/>
      <x:c r="C35" s="131"/>
      <x:c r="D35" s="131"/>
      <x:c r="E35" s="131"/>
      <x:c r="F35" s="133"/>
      <x:c r="G35" s="133"/>
      <x:c r="H35" s="133"/>
      <x:c r="I35" s="131"/>
      <x:c r="J35" s="131"/>
      <x:c r="K35" s="131"/>
      <x:c r="L35" s="131"/>
      <x:c r="M35" s="131"/>
    </x:row>
  </x:sheetData>
  <x:mergeCells>
    <x:mergeCell ref="A1:M1"/>
    <x:mergeCell ref="A2:M2"/>
    <x:mergeCell ref="A4:M4"/>
  </x:mergeCells>
  <x:conditionalFormatting sqref="A6:M35">
    <x:cfRule type="containsBlanks" dxfId="6" priority="1"/>
  </x:conditionalFormatting>
  <x:dataValidations count="2">
    <x:dataValidation type="list" sqref="C6:E35">
      <x:formula1>"Có,Không"</x:formula1>
    </x:dataValidation>
    <x:dataValidation type="list" sqref="I6:J35">
      <x:formula1>"Có,Không"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Setup — Giả định và quy tắc đo</x:v>
      </x:c>
      <x:c r="B1" s="4"/>
      <x:c r="C1" s="4"/>
      <x:c r="D1" s="4"/>
      <x:c r="E1" s="4"/>
      <x:c r="F1" s="4"/>
    </x:row>
    <x:row r="2" ht="34" customHeight="1">
      <x:c r="A2" s="9" t="str">
        <x:v>Các target là ngưỡng pilot do nhóm đề xuất; baseline định lượng phải được khóa từ dữ liệu thật, không nhập số liệu giả.</x:v>
      </x:c>
      <x:c r="B2" s="9"/>
      <x:c r="C2" s="9"/>
      <x:c r="D2" s="9"/>
      <x:c r="E2" s="9"/>
      <x:c r="F2" s="9"/>
    </x:row>
    <x:row r="4">
      <x:c r="A4" s="12" t="str">
        <x:v>ĐẦU VÀO CẦN XÁC NHẬN</x:v>
      </x:c>
      <x:c r="B4" s="12"/>
      <x:c r="C4" s="12"/>
      <x:c r="D4" s="12"/>
      <x:c r="E4" s="12"/>
      <x:c r="F4" s="12"/>
    </x:row>
    <x:row r="5">
      <x:c r="A5" s="98" t="str">
        <x:v>Đầu vào</x:v>
      </x:c>
      <x:c r="B5" s="98" t="str">
        <x:v>Giá trị / quy tắc</x:v>
      </x:c>
    </x:row>
    <x:row r="6">
      <x:c r="A6" s="20" t="str">
        <x:v>Số báo cáo khóa baseline</x:v>
      </x:c>
      <x:c r="B6" s="20" t="n">
        <x:v>5</x:v>
      </x:c>
    </x:row>
    <x:row r="7">
      <x:c r="A7" s="20" t="str">
        <x:v>Baseline thời gian xử lý (phút)</x:v>
      </x:c>
      <x:c r="B7" s="135"/>
    </x:row>
    <x:row r="8">
      <x:c r="A8" s="20" t="str">
        <x:v>Ngưỡng traceability</x:v>
      </x:c>
      <x:c r="B8" s="99" t="n">
        <x:v>0.95</x:v>
      </x:c>
    </x:row>
    <x:row r="9">
      <x:c r="A9" s="20" t="str">
        <x:v>Ngưỡng duyệt vòng đầu</x:v>
      </x:c>
      <x:c r="B9" s="99" t="n">
        <x:v>0.8</x:v>
      </x:c>
    </x:row>
    <x:row r="11">
      <x:c r="A11" s="118" t="str">
        <x:v>Quy tắc: mọi chỉ số phải có nguồn; AI không tự tạo số liệu. Nếu không có nguồn hoặc có chênh lệch, đánh dấu và chuyển data owner/chủ báo cáo. Mục tiêu thời gian trong Metrics!F9 được hiểu là ≤80% baseline.</x:v>
      </x:c>
      <x:c r="B11" s="119"/>
      <x:c r="C11" s="119"/>
      <x:c r="D11" s="119"/>
      <x:c r="E11" s="119"/>
      <x:c r="F11" s="120"/>
    </x:row>
    <x:row r="12">
      <x:c r="A12" s="121"/>
      <x:c r="B12" s="122"/>
      <x:c r="C12" s="122"/>
      <x:c r="D12" s="122"/>
      <x:c r="E12" s="122"/>
      <x:c r="F12" s="123"/>
    </x:row>
    <x:row r="13">
      <x:c r="A13" s="124"/>
      <x:c r="B13" s="125"/>
      <x:c r="C13" s="125"/>
      <x:c r="D13" s="125"/>
      <x:c r="E13" s="125"/>
      <x:c r="F13" s="126"/>
    </x:row>
  </x:sheetData>
  <x:mergeCells>
    <x:mergeCell ref="A1:F1"/>
    <x:mergeCell ref="A2:F2"/>
    <x:mergeCell ref="A4:F4"/>
    <x:mergeCell ref="A11:F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0" hidden="0" customWidth="1"/>
    <x:col min="4" max="4" width="40" hidden="0" customWidth="1"/>
    <x:col min="5" max="5" width="25" hidden="0" customWidth="1"/>
    <x:col min="6" max="6" width="34" hidden="0" customWidth="1"/>
  </x:cols>
  <x:sheetData>
    <x:row r="1" ht="28" customHeight="1">
      <x:c r="A1" s="4" t="str">
        <x:v>Workflow và lộ trình 30–60–90</x:v>
      </x:c>
      <x:c r="B1" s="4"/>
      <x:c r="C1" s="4"/>
      <x:c r="D1" s="4"/>
      <x:c r="E1" s="4"/>
      <x:c r="F1" s="4"/>
    </x:row>
    <x:row r="2" ht="34" customHeight="1">
      <x:c r="A2" s="9" t="str">
        <x:v>TO-BE thiết kế cùng kiểm soát tin cậy: nguồn → trích nguồn → validator/QA → chuyển người → phê duyệt → phản hồi.</x:v>
      </x:c>
      <x:c r="B2" s="9"/>
      <x:c r="C2" s="9"/>
      <x:c r="D2" s="9"/>
      <x:c r="E2" s="9"/>
      <x:c r="F2" s="9"/>
    </x:row>
    <x:row r="4">
      <x:c r="A4" s="12" t="str">
        <x:v>AS-IS / TO-BE</x:v>
      </x:c>
      <x:c r="B4" s="12"/>
      <x:c r="C4" s="12"/>
      <x:c r="D4" s="12"/>
      <x:c r="E4" s="12"/>
      <x:c r="F4" s="12"/>
    </x:row>
    <x:row r="5">
      <x:c r="A5" s="98" t="str">
        <x:v>Bước</x:v>
      </x:c>
      <x:c r="B5" s="98" t="str">
        <x:v>AS-IS</x:v>
      </x:c>
      <x:c r="C5" s="98" t="str">
        <x:v>Rủi ro</x:v>
      </x:c>
      <x:c r="D5" s="98" t="str">
        <x:v>TO-BE</x:v>
      </x:c>
      <x:c r="E5" s="98" t="str">
        <x:v>Owner</x:v>
      </x:c>
      <x:c r="F5" s="98" t="str">
        <x:v>Điều kiện bàn giao</x:v>
      </x:c>
    </x:row>
    <x:row r="6" ht="56" customHeight="1">
      <x:c r="A6" s="20" t="str">
        <x:v>1. Dữ liệu</x:v>
      </x:c>
      <x:c r="B6" s="20" t="str">
        <x:v>Dữ liệu thô/prompt tự do</x:v>
      </x:c>
      <x:c r="C6" s="20" t="str">
        <x:v>Sai schema, khó truy vết</x:v>
      </x:c>
      <x:c r="D6" s="20" t="str">
        <x:v>Data owner khóa nguồn, schema, phiên bản</x:v>
      </x:c>
      <x:c r="E6" s="20" t="str">
        <x:v>Data owner</x:v>
      </x:c>
      <x:c r="F6" s="20" t="str">
        <x:v>Nguồn và công thức đã xác nhận</x:v>
      </x:c>
    </x:row>
    <x:row r="7" ht="56" customHeight="1">
      <x:c r="A7" s="20" t="str">
        <x:v>2. Bản nháp</x:v>
      </x:c>
      <x:c r="B7" s="20" t="str">
        <x:v>AI sinh và có thể tự hoàn thiện số liệu</x:v>
      </x:c>
      <x:c r="C7" s="20" t="str">
        <x:v>Bịa chỉ số, viết lan man</x:v>
      </x:c>
      <x:c r="D7" s="20" t="str">
        <x:v>AI viết từ số liệu đã xác nhận, gắn nguồn, theo template</x:v>
      </x:c>
      <x:c r="E7" s="20" t="str">
        <x:v>AI owner + nhân viên</x:v>
      </x:c>
      <x:c r="F7" s="20" t="str">
        <x:v>Mọi chỉ số có nguồn hoặc cảnh báo</x:v>
      </x:c>
    </x:row>
    <x:row r="8" ht="56" customHeight="1">
      <x:c r="A8" s="20" t="str">
        <x:v>3. Đối soát/duyệt</x:v>
      </x:c>
      <x:c r="B8" s="20" t="str">
        <x:v>Người dùng sửa thủ công, không log lỗi</x:v>
      </x:c>
      <x:c r="C8" s="20" t="str">
        <x:v>Bỏ sót lỗi, không học được từ lỗi</x:v>
      </x:c>
      <x:c r="D8" s="20" t="str">
        <x:v>Validator/QA → người kiểm tra → chủ báo cáo duyệt</x:v>
      </x:c>
      <x:c r="E8" s="20" t="str">
        <x:v>QA + chủ báo cáo</x:v>
      </x:c>
      <x:c r="F8" s="20" t="str">
        <x:v>Cảnh báo xử lý/chuyển đúng owner</x:v>
      </x:c>
    </x:row>
    <x:row r="9" ht="56" customHeight="1"/>
    <x:row r="10" ht="56" customHeight="1">
      <x:c r="A10" s="12" t="str">
        <x:v>LỘ TRÌNH 30–60–90</x:v>
      </x:c>
      <x:c r="B10" s="12"/>
      <x:c r="C10" s="12"/>
      <x:c r="D10" s="12"/>
      <x:c r="E10" s="12"/>
      <x:c r="F10" s="12"/>
    </x:row>
    <x:row r="11" ht="56" customHeight="1">
      <x:c r="A11" s="98" t="str">
        <x:v>Giai đoạn</x:v>
      </x:c>
      <x:c r="B11" s="98" t="str">
        <x:v>Mục tiêu</x:v>
      </x:c>
      <x:c r="C11" s="98" t="str">
        <x:v>Việc chính</x:v>
      </x:c>
      <x:c r="D11" s="98" t="str">
        <x:v>Owner</x:v>
      </x:c>
      <x:c r="E11" s="98" t="str">
        <x:v>Gate hoàn thành</x:v>
      </x:c>
      <x:c r="F11" s="98" t="str">
        <x:v>Quyết định nếu chưa đạt</x:v>
      </x:c>
    </x:row>
    <x:row r="12" ht="56" customHeight="1">
      <x:c r="A12" s="20" t="str">
        <x:v>0–30 ngày</x:v>
      </x:c>
      <x:c r="B12" s="20" t="str">
        <x:v>Chứng minh vấn đề</x:v>
      </x:c>
      <x:c r="C12" s="20" t="str">
        <x:v>Chọn 1 loại báo cáo; khóa schema/nguồn/template; baseline 5 mẫu</x:v>
      </x:c>
      <x:c r="D12" s="20" t="str">
        <x:v>Data owner + chủ quy trình</x:v>
      </x:c>
      <x:c r="E12" s="20" t="str">
        <x:v>Có nguồn chuẩn, owner, log và baseline</x:v>
      </x:c>
      <x:c r="F12" s="20" t="str">
        <x:v>Chưa pilot rộng; sửa readiness</x:v>
      </x:c>
    </x:row>
    <x:row r="13" ht="56" customHeight="1">
      <x:c r="A13" s="20" t="str">
        <x:v>31–60 ngày</x:v>
      </x:c>
      <x:c r="B13" s="20" t="str">
        <x:v>Chứng minh chất lượng</x:v>
      </x:c>
      <x:c r="C13" s="20" t="str">
        <x:v>Validator/trích nguồn; QA mẫu; hỗ trợ người dùng; theo dõi metric</x:v>
      </x:c>
      <x:c r="D13" s="20" t="str">
        <x:v>Phụ trách AI + QA</x:v>
      </x:c>
      <x:c r="E13" s="20" t="str">
        <x:v>Traceability ≥95%; ngoại lệ có owner</x:v>
      </x:c>
      <x:c r="F13" s="20" t="str">
        <x:v>Sửa validator/workflow, thử lại</x:v>
      </x:c>
    </x:row>
    <x:row r="14" ht="56" customHeight="1">
      <x:c r="A14" s="20" t="str">
        <x:v>61–90 ngày</x:v>
      </x:c>
      <x:c r="B14" s="20" t="str">
        <x:v>Quyết định mở rộng</x:v>
      </x:c>
      <x:c r="C14" s="20" t="str">
        <x:v>So target; kiểm tra governance, quyền truy cập, năng lực vận hành</x:v>
      </x:c>
      <x:c r="D14" s="20" t="str">
        <x:v>Chủ nghiệp vụ</x:v>
      </x:c>
      <x:c r="E14" s="20" t="str">
        <x:v>Đạt ngưỡng chất lượng/hành vi/giá trị</x:v>
      </x:c>
      <x:c r="F14" s="20" t="str">
        <x:v>Mở rộng / sửa-thử lại / dừng</x:v>
      </x:c>
    </x:row>
  </x:sheetData>
  <x:mergeCells>
    <x:mergeCell ref="A1:F1"/>
    <x:mergeCell ref="A2:F2"/>
    <x:mergeCell ref="A4:F4"/>
    <x:mergeCell ref="A10:F10"/>
  </x:mergeCells>
  <x:pageMargins left="0.7" right="0.7" top="0.75" bottom="0.75" header="0.3" footer="0.3"/>
</x:worksheet>
</file>